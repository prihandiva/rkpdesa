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SKRIPSI\"/>
    </mc:Choice>
  </mc:AlternateContent>
  <xr:revisionPtr revIDLastSave="0" documentId="13_ncr:1_{FEB09122-B37A-4485-AF94-F7DB118178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KPDESA 2026" sheetId="1" r:id="rId1"/>
    <sheet name="DU-RKPDESA 2026" sheetId="2" r:id="rId2"/>
    <sheet name="PENDAPATAN DESA" sheetId="3" r:id="rId3"/>
    <sheet name="PENERIMAAN PEMBIAYAAN" sheetId="4" r:id="rId4"/>
    <sheet name="PENGELUARAN PEMBIAYAAN" sheetId="5" r:id="rId5"/>
    <sheet name="KONTROL ANGGARAN SUMBER DANA" sheetId="6" r:id="rId6"/>
    <sheet name="BELANJA PER BIDANG" sheetId="7" r:id="rId7"/>
    <sheet name="APBDES 2025" sheetId="8" r:id="rId8"/>
    <sheet name="KADES" sheetId="9" r:id="rId9"/>
    <sheet name="PERANGKAT" sheetId="10" r:id="rId10"/>
    <sheet name="BPJS" sheetId="11" r:id="rId11"/>
    <sheet name="OPS PEMDES" sheetId="15" r:id="rId12"/>
    <sheet name="BPD" sheetId="12" r:id="rId13"/>
    <sheet name="OPS BPD" sheetId="13" r:id="rId14"/>
    <sheet name="RT RW" sheetId="14" r:id="rId15"/>
    <sheet name="OPS PEMDES 3%" sheetId="16" r:id="rId16"/>
    <sheet name="SARPRAS KANTOR DESA" sheetId="17" r:id="rId17"/>
    <sheet name="SUN RKP" sheetId="18" r:id="rId18"/>
    <sheet name="Sun APBDes" sheetId="52" r:id="rId19"/>
    <sheet name="NONREGULER" sheetId="19" r:id="rId20"/>
    <sheet name="SUN KEBIJAKAN DESA" sheetId="20" r:id="rId21"/>
    <sheet name="SPPT PBB" sheetId="21" r:id="rId22"/>
    <sheet name="OPERASIONAL PAJAK" sheetId="53" r:id="rId23"/>
    <sheet name="PAUD TPQ" sheetId="23" r:id="rId24"/>
    <sheet name="SARPRAS POSYANDU" sheetId="61" r:id="rId25"/>
    <sheet name="POSYANDU" sheetId="24" r:id="rId26"/>
    <sheet name="RT 02 RW 01" sheetId="26" r:id="rId27"/>
    <sheet name="RW 2" sheetId="57" r:id="rId28"/>
    <sheet name="RT 15 RW 3" sheetId="28" r:id="rId29"/>
    <sheet name="RW 04." sheetId="58" r:id="rId30"/>
    <sheet name="RW 5" sheetId="59" r:id="rId31"/>
    <sheet name="RW 06" sheetId="60" r:id="rId32"/>
    <sheet name="RW 07" sheetId="44" r:id="rId33"/>
    <sheet name="PKTD" sheetId="32" r:id="rId34"/>
    <sheet name="OPS LPMD" sheetId="33" r:id="rId35"/>
    <sheet name="OPS KIM" sheetId="34" r:id="rId36"/>
    <sheet name="OPS PB. PANDANLANDUNG" sheetId="35" r:id="rId37"/>
    <sheet name="OPS PSB PANDAWA" sheetId="36" r:id="rId38"/>
    <sheet name="OPS KESENIAN" sheetId="37" r:id="rId39"/>
    <sheet name="OPS LINMAS" sheetId="38" r:id="rId40"/>
    <sheet name="OPS FORUM ANAK" sheetId="39" r:id="rId41"/>
    <sheet name="OPS PKK" sheetId="40" r:id="rId42"/>
    <sheet name="OPS SWADESHI" sheetId="56" r:id="rId43"/>
    <sheet name="OPS ILAL AHAD" sheetId="41" r:id="rId44"/>
    <sheet name="OPS RW" sheetId="42" r:id="rId45"/>
    <sheet name="BLT DD" sheetId="49" r:id="rId46"/>
    <sheet name="KDMP" sheetId="62" r:id="rId47"/>
  </sheets>
  <externalReferences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__________GOR40">#REF!</definedName>
    <definedName name="___________GOR50">#REF!</definedName>
    <definedName name="___________GOR60">#REF!</definedName>
    <definedName name="___________GOR80">#REF!</definedName>
    <definedName name="__________GOR40">#REF!</definedName>
    <definedName name="__________GOR50">#REF!</definedName>
    <definedName name="__________GOR60">#REF!</definedName>
    <definedName name="__________GOR80">#REF!</definedName>
    <definedName name="_________GOR40">#REF!</definedName>
    <definedName name="_________GOR50">#REF!</definedName>
    <definedName name="_________GOR60">#REF!</definedName>
    <definedName name="_________GOR80">#REF!</definedName>
    <definedName name="________GOR40">#REF!</definedName>
    <definedName name="________GOR50">#REF!</definedName>
    <definedName name="________GOR60">#REF!</definedName>
    <definedName name="________GOR80">#REF!</definedName>
    <definedName name="_______GOR40">#REF!</definedName>
    <definedName name="_______GOR50">#REF!</definedName>
    <definedName name="_______GOR60">#REF!</definedName>
    <definedName name="_______GOR80">#REF!</definedName>
    <definedName name="______GOR40">#REF!</definedName>
    <definedName name="______GOR50">#REF!</definedName>
    <definedName name="______GOR60">#REF!</definedName>
    <definedName name="______GOR80">#REF!</definedName>
    <definedName name="_____GOR40">#REF!</definedName>
    <definedName name="_____GOR50">#REF!</definedName>
    <definedName name="_____GOR60">#REF!</definedName>
    <definedName name="_____GOR80">#REF!</definedName>
    <definedName name="____GOR40">#REF!</definedName>
    <definedName name="____GOR50">#REF!</definedName>
    <definedName name="____GOR60">#REF!</definedName>
    <definedName name="____GOR80">#REF!</definedName>
    <definedName name="___GOR40">#REF!</definedName>
    <definedName name="___GOR50">#REF!</definedName>
    <definedName name="___GOR60">#REF!</definedName>
    <definedName name="___GOR80">#REF!</definedName>
    <definedName name="__GOR40">#REF!</definedName>
    <definedName name="__GOR50">#REF!</definedName>
    <definedName name="__GOR60">#REF!</definedName>
    <definedName name="__GOR80">#REF!</definedName>
    <definedName name="_xlnm._FilterDatabase" localSheetId="16" hidden="1">'SARPRAS KANTOR DESA'!$E$1:$E$51</definedName>
    <definedName name="_GOR40">#REF!</definedName>
    <definedName name="_GOR50">#REF!</definedName>
    <definedName name="_GOR60">#REF!</definedName>
    <definedName name="_GOR80">#REF!</definedName>
    <definedName name="Aku" localSheetId="29">#REF!</definedName>
    <definedName name="Aku" localSheetId="30">#REF!</definedName>
    <definedName name="Aku">#REF!</definedName>
    <definedName name="Alat_Gr_buis_ppk" localSheetId="31">'[1]Gorong-Gorong  Buis'!$J$23</definedName>
    <definedName name="Alat_Gr_buis_ppk" localSheetId="27">'[1]Gorong-Gorong  Buis'!$J$23</definedName>
    <definedName name="Alat_Gr_buis_ppk">'[2]Gorong-Gorong  Buis'!$J$23</definedName>
    <definedName name="Alat_Gr_buis_swadaya" localSheetId="31">'[1]Gorong-Gorong  Buis'!$M$23</definedName>
    <definedName name="Alat_Gr_buis_swadaya" localSheetId="27">'[1]Gorong-Gorong  Buis'!$M$23</definedName>
    <definedName name="Alat_Gr_buis_swadaya">'[2]Gorong-Gorong  Buis'!$M$23</definedName>
    <definedName name="Alat_Gr_plat_ppk" localSheetId="26">#REF!</definedName>
    <definedName name="Alat_Gr_plat_ppk" localSheetId="31">#REF!</definedName>
    <definedName name="Alat_Gr_plat_ppk" localSheetId="27">#REF!</definedName>
    <definedName name="Alat_Gr_plat_ppk">#REF!</definedName>
    <definedName name="Alat_Gr_plat_swadaya" localSheetId="26">#REF!</definedName>
    <definedName name="Alat_Gr_plat_swadaya" localSheetId="31">#REF!</definedName>
    <definedName name="Alat_Gr_plat_swadaya" localSheetId="27">#REF!</definedName>
    <definedName name="Alat_Gr_plat_swadaya">#REF!</definedName>
    <definedName name="Alat_Perkerasan_ppk" localSheetId="31">[1]Perkerasan!$I$27+[1]Perkerasan!$I$37</definedName>
    <definedName name="Alat_Perkerasan_ppk" localSheetId="27">[1]Perkerasan!$I$27+[1]Perkerasan!$I$37</definedName>
    <definedName name="Alat_Perkerasan_ppk">[2]Perkerasan!$I$27+[2]Perkerasan!$I$37</definedName>
    <definedName name="Alat_Perkerasan_swadaya" localSheetId="31">[1]Perkerasan!$L$27+[1]Perkerasan!$L$37</definedName>
    <definedName name="Alat_Perkerasan_swadaya" localSheetId="27">[1]Perkerasan!$L$27+[1]Perkerasan!$L$37</definedName>
    <definedName name="Alat_Perkerasan_swadaya">[2]Perkerasan!$L$27+[2]Perkerasan!$L$37</definedName>
    <definedName name="Alat_Talud_ppk" localSheetId="26">#REF!</definedName>
    <definedName name="Alat_Talud_ppk" localSheetId="31">#REF!</definedName>
    <definedName name="Alat_Talud_ppk" localSheetId="27">#REF!</definedName>
    <definedName name="Alat_Talud_ppk">#REF!</definedName>
    <definedName name="Alat_Talud_swadaya" localSheetId="26">#REF!</definedName>
    <definedName name="Alat_Talud_swadaya" localSheetId="31">#REF!</definedName>
    <definedName name="Alat_Talud_swadaya" localSheetId="27">#REF!</definedName>
    <definedName name="Alat_Talud_swadaya">#REF!</definedName>
    <definedName name="Bahan_Gr_buis_ppk" localSheetId="31">'[1]Gorong-Gorong  Buis'!$J$17</definedName>
    <definedName name="Bahan_Gr_buis_ppk" localSheetId="27">'[1]Gorong-Gorong  Buis'!$J$17</definedName>
    <definedName name="Bahan_Gr_buis_ppk">'[2]Gorong-Gorong  Buis'!$J$17</definedName>
    <definedName name="Bahan_Gr_buis_swadaya" localSheetId="31">'[1]Gorong-Gorong  Buis'!$M$17</definedName>
    <definedName name="Bahan_Gr_buis_swadaya" localSheetId="27">'[1]Gorong-Gorong  Buis'!$M$17</definedName>
    <definedName name="Bahan_Gr_buis_swadaya">'[2]Gorong-Gorong  Buis'!$M$17</definedName>
    <definedName name="Bahan_Gr_plat_ppk" localSheetId="26">#REF!</definedName>
    <definedName name="Bahan_Gr_plat_ppk" localSheetId="31">#REF!</definedName>
    <definedName name="Bahan_Gr_plat_ppk" localSheetId="27">#REF!</definedName>
    <definedName name="Bahan_Gr_plat_ppk">#REF!</definedName>
    <definedName name="Bahan_Gr_plat_swadaya" localSheetId="26">#REF!</definedName>
    <definedName name="Bahan_Gr_plat_swadaya" localSheetId="31">#REF!</definedName>
    <definedName name="Bahan_Gr_plat_swadaya" localSheetId="27">#REF!</definedName>
    <definedName name="Bahan_Gr_plat_swadaya">#REF!</definedName>
    <definedName name="Bahan_Gr_plat5" localSheetId="26">#REF!</definedName>
    <definedName name="Bahan_Gr_plat5" localSheetId="31">#REF!</definedName>
    <definedName name="Bahan_Gr_plat5" localSheetId="27">#REF!</definedName>
    <definedName name="Bahan_Gr_plat5">#REF!</definedName>
    <definedName name="Bahan_Gr_plat6" localSheetId="26">#REF!</definedName>
    <definedName name="Bahan_Gr_plat6" localSheetId="31">#REF!</definedName>
    <definedName name="Bahan_Gr_plat6" localSheetId="27">#REF!</definedName>
    <definedName name="Bahan_Gr_plat6">#REF!</definedName>
    <definedName name="Bahan_perkerasan_ppk" localSheetId="31">[1]Perkerasan!$I$16</definedName>
    <definedName name="Bahan_perkerasan_ppk" localSheetId="27">[1]Perkerasan!$I$16</definedName>
    <definedName name="Bahan_perkerasan_ppk">[2]Perkerasan!$I$16</definedName>
    <definedName name="Bahan_Perkerasan_swadaya" localSheetId="31">[1]Perkerasan!$L$16</definedName>
    <definedName name="Bahan_Perkerasan_swadaya" localSheetId="27">[1]Perkerasan!$L$16</definedName>
    <definedName name="Bahan_Perkerasan_swadaya">[2]Perkerasan!$L$16</definedName>
    <definedName name="Bahan_Talud_ppk" localSheetId="26">#REF!</definedName>
    <definedName name="Bahan_Talud_ppk" localSheetId="31">#REF!</definedName>
    <definedName name="Bahan_Talud_ppk" localSheetId="27">#REF!</definedName>
    <definedName name="Bahan_Talud_ppk">#REF!</definedName>
    <definedName name="Bahan_Talud_swadaya" localSheetId="26">#REF!</definedName>
    <definedName name="Bahan_Talud_swadaya" localSheetId="31">#REF!</definedName>
    <definedName name="Bahan_Talud_swadaya" localSheetId="27">#REF!</definedName>
    <definedName name="Bahan_Talud_swadaya">#REF!</definedName>
    <definedName name="BATU" localSheetId="33">#REF!</definedName>
    <definedName name="BATU" localSheetId="29">#REF!</definedName>
    <definedName name="BATU" localSheetId="31">'[3]H Satuan'!$F$14</definedName>
    <definedName name="BATU" localSheetId="27">'[3]H Satuan'!$F$14</definedName>
    <definedName name="BATU" localSheetId="30">#REF!</definedName>
    <definedName name="BATU">'[4]H Satuan'!$F$14</definedName>
    <definedName name="BATUPECAH" localSheetId="33">#REF!</definedName>
    <definedName name="BATUPECAH" localSheetId="26">#REF!</definedName>
    <definedName name="BATUPECAH" localSheetId="29">#REF!</definedName>
    <definedName name="BATUPECAH" localSheetId="31">#REF!</definedName>
    <definedName name="BATUPECAH" localSheetId="27">#REF!</definedName>
    <definedName name="BATUPECAH" localSheetId="30">#REF!</definedName>
    <definedName name="BATUPECAH">#REF!</definedName>
    <definedName name="BENANG" localSheetId="33">#REF!</definedName>
    <definedName name="BENANG" localSheetId="26">#REF!</definedName>
    <definedName name="BENANG" localSheetId="29">#REF!</definedName>
    <definedName name="BENANG" localSheetId="31">#REF!</definedName>
    <definedName name="BENANG" localSheetId="27">#REF!</definedName>
    <definedName name="BENANG" localSheetId="30">#REF!</definedName>
    <definedName name="BENANG">#REF!</definedName>
    <definedName name="BODEM2KG" localSheetId="33">#REF!</definedName>
    <definedName name="BODEM2KG" localSheetId="26">#REF!</definedName>
    <definedName name="BODEM2KG" localSheetId="29">#REF!</definedName>
    <definedName name="BODEM2KG" localSheetId="31">#REF!</definedName>
    <definedName name="BODEM2KG" localSheetId="27">#REF!</definedName>
    <definedName name="BODEM2KG" localSheetId="30">#REF!</definedName>
    <definedName name="BODEM2KG">#REF!</definedName>
    <definedName name="BODEM5KG" localSheetId="33">#REF!</definedName>
    <definedName name="BODEM5KG" localSheetId="26">#REF!</definedName>
    <definedName name="BODEM5KG" localSheetId="29">#REF!</definedName>
    <definedName name="BODEM5KG" localSheetId="31">#REF!</definedName>
    <definedName name="BODEM5KG" localSheetId="27">#REF!</definedName>
    <definedName name="BODEM5KG" localSheetId="30">#REF!</definedName>
    <definedName name="BODEM5KG">#REF!</definedName>
    <definedName name="CANGKUL" localSheetId="33">#REF!</definedName>
    <definedName name="CANGKUL" localSheetId="26">#REF!</definedName>
    <definedName name="CANGKUL" localSheetId="29">#REF!</definedName>
    <definedName name="CANGKUL" localSheetId="31">#REF!</definedName>
    <definedName name="CANGKUL" localSheetId="27">#REF!</definedName>
    <definedName name="CANGKUL" localSheetId="30">#REF!</definedName>
    <definedName name="CANGKUL">#REF!</definedName>
    <definedName name="GANCO" localSheetId="33">#REF!</definedName>
    <definedName name="GANCO" localSheetId="26">#REF!</definedName>
    <definedName name="GANCO" localSheetId="29">#REF!</definedName>
    <definedName name="GANCO" localSheetId="31">#REF!</definedName>
    <definedName name="GANCO" localSheetId="27">#REF!</definedName>
    <definedName name="GANCO" localSheetId="30">#REF!</definedName>
    <definedName name="GANCO">#REF!</definedName>
    <definedName name="Gorong_buis" localSheetId="31">'[1]Gorong-Gorong  Buis'!$N$12:$T$23</definedName>
    <definedName name="Gorong_buis" localSheetId="27">'[1]Gorong-Gorong  Buis'!$N$12:$T$23</definedName>
    <definedName name="Gorong_buis">'[2]Gorong-Gorong  Buis'!$N$12:$T$23</definedName>
    <definedName name="Gorong_plat" localSheetId="26">#REF!</definedName>
    <definedName name="Gorong_plat" localSheetId="31">#REF!</definedName>
    <definedName name="Gorong_plat" localSheetId="27">#REF!</definedName>
    <definedName name="Gorong_plat">#REF!</definedName>
    <definedName name="GROBAK" localSheetId="33">#REF!</definedName>
    <definedName name="GROBAK" localSheetId="26">#REF!</definedName>
    <definedName name="GROBAK" localSheetId="29">#REF!</definedName>
    <definedName name="GROBAK" localSheetId="31">#REF!</definedName>
    <definedName name="GROBAK" localSheetId="27">#REF!</definedName>
    <definedName name="GROBAK" localSheetId="30">#REF!</definedName>
    <definedName name="GROBAK">#REF!</definedName>
    <definedName name="Harsat" localSheetId="31">[1]Harga!$B$2:$D$34</definedName>
    <definedName name="Harsat" localSheetId="27">[1]Harga!$B$2:$D$34</definedName>
    <definedName name="Harsat">[2]Harga!$B$2:$D$34</definedName>
    <definedName name="hh" localSheetId="31">SUM('[5]Gorong-Gorong  Plat Beton'!$E$27:$E$28)</definedName>
    <definedName name="hh" localSheetId="27">SUM('[5]Gorong-Gorong  Plat Beton'!$E$27:$E$28)</definedName>
    <definedName name="hh">SUM('[6]Gorong-Gorong  Plat Beton'!$E$27:$E$28)</definedName>
    <definedName name="HOK_Gr_buis_ppk" localSheetId="31">SUM('[1]Gorong-Gorong  Buis'!$G$25:$G$26)</definedName>
    <definedName name="HOK_Gr_buis_ppk" localSheetId="27">SUM('[1]Gorong-Gorong  Buis'!$G$25:$G$26)</definedName>
    <definedName name="HOK_Gr_buis_ppk">SUM('[2]Gorong-Gorong  Buis'!$G$25:$G$26)</definedName>
    <definedName name="HOK_Gr_buis_swadaya" localSheetId="31">SUM('[1]Gorong-Gorong  Buis'!$F$25:$F$26)</definedName>
    <definedName name="HOK_Gr_buis_swadaya" localSheetId="27">SUM('[1]Gorong-Gorong  Buis'!$F$25:$F$26)</definedName>
    <definedName name="HOK_Gr_buis_swadaya">SUM('[2]Gorong-Gorong  Buis'!$F$25:$F$26)</definedName>
    <definedName name="HOK_Gr_plat_ppk" localSheetId="26">SUM(#REF!)</definedName>
    <definedName name="HOK_Gr_plat_ppk" localSheetId="31">SUM(#REF!)</definedName>
    <definedName name="HOK_Gr_plat_ppk" localSheetId="27">SUM(#REF!)</definedName>
    <definedName name="HOK_Gr_plat_ppk">SUM(#REF!)</definedName>
    <definedName name="HOK_Gr_plat_swadaya" localSheetId="26">SUM(#REF!)</definedName>
    <definedName name="HOK_Gr_plat_swadaya" localSheetId="31">SUM(#REF!)</definedName>
    <definedName name="HOK_Gr_plat_swadaya" localSheetId="27">SUM(#REF!)</definedName>
    <definedName name="HOK_Gr_plat_swadaya">SUM(#REF!)</definedName>
    <definedName name="HOK_perkerasan_ppk" localSheetId="31">SUM([1]Perkerasan!$F$29:$F$30)</definedName>
    <definedName name="HOK_perkerasan_ppk" localSheetId="27">SUM([1]Perkerasan!$F$29:$F$30)</definedName>
    <definedName name="HOK_perkerasan_ppk">SUM([2]Perkerasan!$F$29:$F$30)</definedName>
    <definedName name="HOK_perkerasan_swadaya" localSheetId="31">SUM([1]Perkerasan!$E$29:$E$30)</definedName>
    <definedName name="HOK_perkerasan_swadaya" localSheetId="27">SUM([1]Perkerasan!$E$29:$E$30)</definedName>
    <definedName name="HOK_perkerasan_swadaya">SUM([2]Perkerasan!$E$29:$E$30)</definedName>
    <definedName name="HOK_Talud_ppk" localSheetId="26">SUM(#REF!)</definedName>
    <definedName name="HOK_Talud_ppk" localSheetId="31">SUM(#REF!)</definedName>
    <definedName name="HOK_Talud_ppk" localSheetId="27">SUM(#REF!)</definedName>
    <definedName name="HOK_Talud_ppk">SUM(#REF!)</definedName>
    <definedName name="HOK_Talud_swadaya" localSheetId="26">SUM(#REF!)</definedName>
    <definedName name="HOK_Talud_swadaya" localSheetId="31">SUM(#REF!)</definedName>
    <definedName name="HOK_Talud_swadaya" localSheetId="27">SUM(#REF!)</definedName>
    <definedName name="HOK_Talud_swadaya">SUM(#REF!)</definedName>
    <definedName name="KRANJANG" localSheetId="33">#REF!</definedName>
    <definedName name="KRANJANG" localSheetId="26">#REF!</definedName>
    <definedName name="KRANJANG" localSheetId="29">#REF!</definedName>
    <definedName name="KRANJANG" localSheetId="31">#REF!</definedName>
    <definedName name="KRANJANG" localSheetId="27">#REF!</definedName>
    <definedName name="KRANJANG" localSheetId="30">#REF!</definedName>
    <definedName name="KRANJANG">#REF!</definedName>
    <definedName name="MANDOR" localSheetId="33">#REF!</definedName>
    <definedName name="MANDOR" localSheetId="29">#REF!</definedName>
    <definedName name="MANDOR" localSheetId="31">'[3]H Satuan'!$F$30</definedName>
    <definedName name="MANDOR" localSheetId="27">'[3]H Satuan'!$F$30</definedName>
    <definedName name="MANDOR" localSheetId="30">#REF!</definedName>
    <definedName name="MANDOR">'[4]H Satuan'!$F$30</definedName>
    <definedName name="MOBILISASI" localSheetId="33">#REF!</definedName>
    <definedName name="MOBILISASI" localSheetId="26">#REF!</definedName>
    <definedName name="MOBILISASI" localSheetId="29">#REF!</definedName>
    <definedName name="MOBILISASI" localSheetId="31">#REF!</definedName>
    <definedName name="MOBILISASI" localSheetId="27">#REF!</definedName>
    <definedName name="MOBILISASI" localSheetId="30">#REF!</definedName>
    <definedName name="MOBILISASI">#REF!</definedName>
    <definedName name="PAPANPRO" localSheetId="33">#REF!</definedName>
    <definedName name="PAPANPRO" localSheetId="26">#REF!</definedName>
    <definedName name="PAPANPRO" localSheetId="29">#REF!</definedName>
    <definedName name="PAPANPRO" localSheetId="31">#REF!</definedName>
    <definedName name="PAPANPRO" localSheetId="27">#REF!</definedName>
    <definedName name="PAPANPRO" localSheetId="30">#REF!</definedName>
    <definedName name="PAPANPRO">#REF!</definedName>
    <definedName name="PEKERJA" localSheetId="33">#REF!</definedName>
    <definedName name="Pekerja" localSheetId="26">#REF!+#REF!+#REF!+#REF!+#REF!+#REF!+#REF!+#REF!+#REF!+#REF!+#REF!</definedName>
    <definedName name="PEKERJA" localSheetId="29">#REF!</definedName>
    <definedName name="Pekerja" localSheetId="31">#REF!+#REF!+#REF!+#REF!+#REF!+#REF!+#REF!+#REF!+#REF!+#REF!+#REF!</definedName>
    <definedName name="Pekerja" localSheetId="27">#REF!+#REF!+#REF!+#REF!+#REF!+#REF!+#REF!+#REF!+#REF!+#REF!+#REF!</definedName>
    <definedName name="PEKERJA" localSheetId="30">#REF!</definedName>
    <definedName name="Pekerja">#REF!+#REF!+#REF!+#REF!+#REF!+#REF!+#REF!+#REF!+#REF!+#REF!+#REF!</definedName>
    <definedName name="Perkerasan" localSheetId="31">[1]Perkerasan!$M$11:$S$29</definedName>
    <definedName name="Perkerasan" localSheetId="27">[1]Perkerasan!$M$11:$S$29</definedName>
    <definedName name="Perkerasan">[2]Perkerasan!$M$11:$S$29</definedName>
    <definedName name="PRASASTI" localSheetId="33">#REF!</definedName>
    <definedName name="PRASASTI" localSheetId="26">#REF!</definedName>
    <definedName name="PRASASTI" localSheetId="29">#REF!</definedName>
    <definedName name="PRASASTI" localSheetId="31">#REF!</definedName>
    <definedName name="PRASASTI" localSheetId="27">#REF!</definedName>
    <definedName name="PRASASTI" localSheetId="30">#REF!</definedName>
    <definedName name="PRASASTI">#REF!</definedName>
    <definedName name="_xlnm.Print_Area" localSheetId="33">PKTD!$A$2:$R$38</definedName>
    <definedName name="_xlnm.Print_Area" localSheetId="26">'RT 02 RW 01'!$A$1:$O$53</definedName>
    <definedName name="_xlnm.Print_Area" localSheetId="28">'RT 15 RW 3'!$A$1:$O$49</definedName>
    <definedName name="_xlnm.Print_Area" localSheetId="29">'RW 04.'!$A$2:$R$65</definedName>
    <definedName name="_xlnm.Print_Area" localSheetId="31">'RW 06'!$A$1:$O$52</definedName>
    <definedName name="_xlnm.Print_Area" localSheetId="27">'RW 2'!$A$1:$M$40</definedName>
    <definedName name="_xlnm.Print_Area" localSheetId="30">'RW 5'!$A$2:$R$62</definedName>
    <definedName name="PSRATS" localSheetId="33">#REF!</definedName>
    <definedName name="PSRATS" localSheetId="26">#REF!</definedName>
    <definedName name="PSRATS" localSheetId="29">#REF!</definedName>
    <definedName name="PSRATS" localSheetId="31">#REF!</definedName>
    <definedName name="PSRATS" localSheetId="27">#REF!</definedName>
    <definedName name="PSRATS" localSheetId="30">#REF!</definedName>
    <definedName name="PSRATS">#REF!</definedName>
    <definedName name="PSRPSG" localSheetId="33">#REF!</definedName>
    <definedName name="PSRPSG" localSheetId="29">#REF!</definedName>
    <definedName name="PSRPSG" localSheetId="31">'[3]H Satuan'!$F$17</definedName>
    <definedName name="PSRPSG" localSheetId="27">'[3]H Satuan'!$F$17</definedName>
    <definedName name="PSRPSG" localSheetId="30">#REF!</definedName>
    <definedName name="PSRPSG">'[4]H Satuan'!$F$17</definedName>
    <definedName name="PSRWBH" localSheetId="33">#REF!</definedName>
    <definedName name="PSRWBH" localSheetId="26">#REF!</definedName>
    <definedName name="PSRWBH" localSheetId="29">#REF!</definedName>
    <definedName name="PSRWBH" localSheetId="31">#REF!</definedName>
    <definedName name="PSRWBH" localSheetId="27">#REF!</definedName>
    <definedName name="PSRWBH" localSheetId="30">#REF!</definedName>
    <definedName name="PSRWBH">#REF!</definedName>
    <definedName name="SEKOP" localSheetId="33">#REF!</definedName>
    <definedName name="SEKOP" localSheetId="26">#REF!</definedName>
    <definedName name="SEKOP" localSheetId="29">#REF!</definedName>
    <definedName name="SEKOP" localSheetId="31">#REF!</definedName>
    <definedName name="SEKOP" localSheetId="27">#REF!</definedName>
    <definedName name="SEKOP" localSheetId="30">#REF!</definedName>
    <definedName name="SEKOP">#REF!</definedName>
    <definedName name="SEMENGRESIK" localSheetId="33">#REF!</definedName>
    <definedName name="SEMENGRESIK" localSheetId="26">#REF!</definedName>
    <definedName name="SEMENGRESIK" localSheetId="29">#REF!</definedName>
    <definedName name="SEMENGRESIK" localSheetId="31">#REF!</definedName>
    <definedName name="SEMENGRESIK" localSheetId="27">#REF!</definedName>
    <definedName name="SEMENGRESIK" localSheetId="30">#REF!</definedName>
    <definedName name="SEMENGRESIK">#REF!</definedName>
    <definedName name="SEMENHOLCIM" localSheetId="33">#REF!</definedName>
    <definedName name="SEMENHOLCIM" localSheetId="29">#REF!</definedName>
    <definedName name="SEMENHOLCIM" localSheetId="31">'[3]H Satuan'!$F$19</definedName>
    <definedName name="SEMENHOLCIM" localSheetId="27">'[3]H Satuan'!$F$19</definedName>
    <definedName name="SEMENHOLCIM" localSheetId="30">#REF!</definedName>
    <definedName name="SEMENHOLCIM">'[4]H Satuan'!$F$19</definedName>
    <definedName name="Talud" localSheetId="26">#REF!</definedName>
    <definedName name="Talud" localSheetId="31">#REF!</definedName>
    <definedName name="Talud" localSheetId="27">#REF!</definedName>
    <definedName name="Talud">#REF!</definedName>
    <definedName name="TKBATU" localSheetId="33">#REF!</definedName>
    <definedName name="TKBATU" localSheetId="29">#REF!</definedName>
    <definedName name="TKBATU" localSheetId="31">'[3]H Satuan'!$F$27</definedName>
    <definedName name="TKBATU" localSheetId="27">'[3]H Satuan'!$F$27</definedName>
    <definedName name="TKBATU" localSheetId="30">#REF!</definedName>
    <definedName name="TKBATU">'[4]H Satuan'!$F$27</definedName>
    <definedName name="TKKAYU" localSheetId="33">#REF!</definedName>
    <definedName name="TKKAYU" localSheetId="26">#REF!</definedName>
    <definedName name="TKKAYU" localSheetId="29">#REF!</definedName>
    <definedName name="TKKAYU" localSheetId="31">#REF!</definedName>
    <definedName name="TKKAYU" localSheetId="27">#REF!</definedName>
    <definedName name="TKKAYU" localSheetId="30">#REF!</definedName>
    <definedName name="TKKAYU">#REF!</definedName>
    <definedName name="Upah_Gr_buis_ppk" localSheetId="31">'[1]Gorong-Gorong  Buis'!$J$28</definedName>
    <definedName name="Upah_Gr_buis_ppk" localSheetId="27">'[1]Gorong-Gorong  Buis'!$J$28</definedName>
    <definedName name="Upah_Gr_buis_ppk">'[2]Gorong-Gorong  Buis'!$J$28</definedName>
    <definedName name="Upah_Gr_buis_swadaya" localSheetId="31">'[1]Gorong-Gorong  Buis'!$M$28</definedName>
    <definedName name="Upah_Gr_buis_swadaya" localSheetId="27">'[1]Gorong-Gorong  Buis'!$M$28</definedName>
    <definedName name="Upah_Gr_buis_swadaya">'[2]Gorong-Gorong  Buis'!$M$28</definedName>
    <definedName name="Upah_Gr_plat_ppk" localSheetId="26">#REF!</definedName>
    <definedName name="Upah_Gr_plat_ppk" localSheetId="31">#REF!</definedName>
    <definedName name="Upah_Gr_plat_ppk" localSheetId="27">#REF!</definedName>
    <definedName name="Upah_Gr_plat_ppk">#REF!</definedName>
    <definedName name="Upah_Gr_plat_swadaya" localSheetId="26">#REF!</definedName>
    <definedName name="Upah_Gr_plat_swadaya" localSheetId="31">#REF!</definedName>
    <definedName name="Upah_Gr_plat_swadaya" localSheetId="27">#REF!</definedName>
    <definedName name="Upah_Gr_plat_swadaya">#REF!</definedName>
    <definedName name="Upah_perkerasan_ppk" localSheetId="31">[1]Perkerasan!$I$32</definedName>
    <definedName name="Upah_perkerasan_ppk" localSheetId="27">[1]Perkerasan!$I$32</definedName>
    <definedName name="Upah_perkerasan_ppk">[2]Perkerasan!$I$32</definedName>
    <definedName name="Upah_perkerasan_swadaya" localSheetId="31">[1]Perkerasan!$L$32</definedName>
    <definedName name="Upah_perkerasan_swadaya" localSheetId="27">[1]Perkerasan!$L$32</definedName>
    <definedName name="Upah_perkerasan_swadaya">[2]Perkerasan!$L$32</definedName>
    <definedName name="Upah_Talud_ppk" localSheetId="26">#REF!</definedName>
    <definedName name="Upah_Talud_ppk" localSheetId="31">#REF!</definedName>
    <definedName name="Upah_Talud_ppk" localSheetId="27">#REF!</definedName>
    <definedName name="Upah_Talud_ppk">#REF!</definedName>
    <definedName name="Upah_Talud_swadaya" localSheetId="26">#REF!</definedName>
    <definedName name="Upah_Talud_swadaya" localSheetId="31">#REF!</definedName>
    <definedName name="Upah_Talud_swadaya" localSheetId="27">#REF!</definedName>
    <definedName name="Upah_Talud_swadaya">#REF!</definedName>
    <definedName name="WALES" localSheetId="33">#REF!</definedName>
    <definedName name="WALES" localSheetId="26">#REF!</definedName>
    <definedName name="WALES" localSheetId="29">#REF!</definedName>
    <definedName name="WALES" localSheetId="31">#REF!</definedName>
    <definedName name="WALES" localSheetId="27">#REF!</definedName>
    <definedName name="WALES" localSheetId="30">#REF!</definedName>
    <definedName name="WA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6" l="1"/>
  <c r="M3" i="42"/>
  <c r="J18" i="6"/>
  <c r="J17" i="62"/>
  <c r="J16" i="62"/>
  <c r="J15" i="62" s="1"/>
  <c r="J13" i="62" s="1"/>
  <c r="J18" i="62" s="1"/>
  <c r="M3" i="62"/>
  <c r="F14" i="6"/>
  <c r="M3" i="38"/>
  <c r="M3" i="23"/>
  <c r="F12" i="6"/>
  <c r="M3" i="15"/>
  <c r="M3" i="56"/>
  <c r="M4" i="40"/>
  <c r="J13" i="40"/>
  <c r="J27" i="40"/>
  <c r="J18" i="40"/>
  <c r="M5" i="15"/>
  <c r="J25" i="38"/>
  <c r="J13" i="38"/>
  <c r="J14" i="17"/>
  <c r="J13" i="17"/>
  <c r="J29" i="17"/>
  <c r="B14" i="42"/>
  <c r="J18" i="41"/>
  <c r="J17" i="41"/>
  <c r="J16" i="41" s="1"/>
  <c r="J24" i="56"/>
  <c r="J23" i="56"/>
  <c r="J22" i="56" s="1"/>
  <c r="J12" i="56" s="1"/>
  <c r="J25" i="56" s="1"/>
  <c r="J21" i="56"/>
  <c r="J20" i="56"/>
  <c r="J19" i="56"/>
  <c r="J18" i="56"/>
  <c r="J17" i="56"/>
  <c r="J16" i="56"/>
  <c r="J15" i="56"/>
  <c r="J18" i="61"/>
  <c r="J17" i="61"/>
  <c r="J15" i="61"/>
  <c r="J13" i="61"/>
  <c r="J19" i="61" l="1"/>
  <c r="M2" i="61"/>
  <c r="G38" i="2"/>
  <c r="G30" i="2"/>
  <c r="G31" i="2"/>
  <c r="G32" i="2"/>
  <c r="G33" i="2"/>
  <c r="G34" i="2"/>
  <c r="G35" i="2"/>
  <c r="G36" i="2"/>
  <c r="G37" i="2"/>
  <c r="G25" i="2"/>
  <c r="G12" i="2"/>
  <c r="G13" i="2"/>
  <c r="G15" i="2"/>
  <c r="G16" i="2"/>
  <c r="G17" i="2"/>
  <c r="G18" i="2"/>
  <c r="G19" i="2"/>
  <c r="G20" i="2"/>
  <c r="G21" i="2"/>
  <c r="G22" i="2"/>
  <c r="G23" i="2"/>
  <c r="G24" i="2"/>
  <c r="J24" i="17" l="1"/>
  <c r="J42" i="17"/>
  <c r="J41" i="17"/>
  <c r="J32" i="17"/>
  <c r="J27" i="17"/>
  <c r="J28" i="17"/>
  <c r="Q12" i="1"/>
  <c r="X12" i="1"/>
  <c r="X10" i="1"/>
  <c r="Y10" i="1"/>
  <c r="Q2" i="44"/>
  <c r="E48" i="8" s="1"/>
  <c r="M48" i="60"/>
  <c r="M46" i="60"/>
  <c r="G43" i="60"/>
  <c r="G42" i="60"/>
  <c r="F40" i="60"/>
  <c r="G40" i="60" s="1"/>
  <c r="G39" i="60" s="1"/>
  <c r="F36" i="60"/>
  <c r="D36" i="60"/>
  <c r="G36" i="60" s="1"/>
  <c r="F35" i="60"/>
  <c r="D35" i="60"/>
  <c r="F32" i="60"/>
  <c r="G32" i="60" s="1"/>
  <c r="F31" i="60"/>
  <c r="G31" i="60" s="1"/>
  <c r="F30" i="60"/>
  <c r="G30" i="60" s="1"/>
  <c r="F29" i="60"/>
  <c r="G29" i="60" s="1"/>
  <c r="F28" i="60"/>
  <c r="G28" i="60" s="1"/>
  <c r="F27" i="60"/>
  <c r="G27" i="60" s="1"/>
  <c r="G33" i="60" s="1"/>
  <c r="G26" i="60"/>
  <c r="F23" i="60"/>
  <c r="G23" i="60" s="1"/>
  <c r="B23" i="60"/>
  <c r="F22" i="60"/>
  <c r="D22" i="60"/>
  <c r="G22" i="60" s="1"/>
  <c r="F21" i="60"/>
  <c r="D21" i="60"/>
  <c r="F20" i="60"/>
  <c r="D20" i="60"/>
  <c r="G20" i="60" s="1"/>
  <c r="F19" i="60"/>
  <c r="D19" i="60"/>
  <c r="G19" i="60" s="1"/>
  <c r="F18" i="60"/>
  <c r="D18" i="60"/>
  <c r="G18" i="60" s="1"/>
  <c r="F17" i="60"/>
  <c r="D17" i="60"/>
  <c r="G17" i="60" s="1"/>
  <c r="F16" i="60"/>
  <c r="D16" i="60"/>
  <c r="G16" i="60" s="1"/>
  <c r="F15" i="60"/>
  <c r="D15" i="60"/>
  <c r="G15" i="60" s="1"/>
  <c r="F14" i="60"/>
  <c r="D14" i="60"/>
  <c r="G14" i="60" s="1"/>
  <c r="B14" i="60"/>
  <c r="A14" i="60"/>
  <c r="A15" i="60" s="1"/>
  <c r="A16" i="60" s="1"/>
  <c r="A17" i="60" s="1"/>
  <c r="A18" i="60" s="1"/>
  <c r="A19" i="60" s="1"/>
  <c r="A20" i="60" s="1"/>
  <c r="A21" i="60" s="1"/>
  <c r="A22" i="60" s="1"/>
  <c r="A23" i="60" s="1"/>
  <c r="F13" i="60"/>
  <c r="D13" i="60"/>
  <c r="G13" i="60" s="1"/>
  <c r="B13" i="60"/>
  <c r="G7" i="60"/>
  <c r="C7" i="60"/>
  <c r="G6" i="60"/>
  <c r="C6" i="60"/>
  <c r="G5" i="60"/>
  <c r="C5" i="60"/>
  <c r="C4" i="60"/>
  <c r="P40" i="59"/>
  <c r="L40" i="59"/>
  <c r="J39" i="59"/>
  <c r="H39" i="59"/>
  <c r="M39" i="59" s="1"/>
  <c r="M40" i="59" s="1"/>
  <c r="J34" i="59"/>
  <c r="F34" i="59"/>
  <c r="H34" i="59" s="1"/>
  <c r="M34" i="59" s="1"/>
  <c r="P34" i="59" s="1"/>
  <c r="J33" i="59"/>
  <c r="L33" i="59" s="1"/>
  <c r="L36" i="59" s="1"/>
  <c r="F33" i="59"/>
  <c r="H33" i="59" s="1"/>
  <c r="J30" i="59"/>
  <c r="L30" i="59" s="1"/>
  <c r="H30" i="59"/>
  <c r="M30" i="59" s="1"/>
  <c r="P30" i="59" s="1"/>
  <c r="J29" i="59"/>
  <c r="L29" i="59" s="1"/>
  <c r="H29" i="59"/>
  <c r="M29" i="59" s="1"/>
  <c r="P29" i="59" s="1"/>
  <c r="J28" i="59"/>
  <c r="L28" i="59" s="1"/>
  <c r="H28" i="59"/>
  <c r="M28" i="59" s="1"/>
  <c r="P28" i="59" s="1"/>
  <c r="J27" i="59"/>
  <c r="L27" i="59" s="1"/>
  <c r="L31" i="59" s="1"/>
  <c r="H27" i="59"/>
  <c r="M27" i="59" s="1"/>
  <c r="J24" i="59"/>
  <c r="L24" i="59" s="1"/>
  <c r="H24" i="59"/>
  <c r="M24" i="59" s="1"/>
  <c r="J23" i="59"/>
  <c r="H23" i="59"/>
  <c r="M23" i="59" s="1"/>
  <c r="K22" i="59"/>
  <c r="F22" i="59"/>
  <c r="H22" i="59" s="1"/>
  <c r="O22" i="59" s="1"/>
  <c r="C22" i="59"/>
  <c r="J21" i="59"/>
  <c r="L21" i="59" s="1"/>
  <c r="F21" i="59"/>
  <c r="H21" i="59" s="1"/>
  <c r="M21" i="59" s="1"/>
  <c r="P21" i="59" s="1"/>
  <c r="C21" i="59"/>
  <c r="J20" i="59"/>
  <c r="F20" i="59"/>
  <c r="H20" i="59" s="1"/>
  <c r="M20" i="59" s="1"/>
  <c r="C20" i="59"/>
  <c r="K19" i="59"/>
  <c r="F19" i="59"/>
  <c r="H19" i="59" s="1"/>
  <c r="O19" i="59" s="1"/>
  <c r="C19" i="59"/>
  <c r="J18" i="59"/>
  <c r="L18" i="59" s="1"/>
  <c r="F18" i="59"/>
  <c r="H18" i="59" s="1"/>
  <c r="M18" i="59" s="1"/>
  <c r="P18" i="59" s="1"/>
  <c r="K17" i="59"/>
  <c r="F17" i="59"/>
  <c r="H17" i="59" s="1"/>
  <c r="M17" i="59" s="1"/>
  <c r="C17" i="59"/>
  <c r="K16" i="59"/>
  <c r="F16" i="59"/>
  <c r="H16" i="59" s="1"/>
  <c r="M16" i="59" s="1"/>
  <c r="C16" i="59"/>
  <c r="J15" i="59"/>
  <c r="L15" i="59" s="1"/>
  <c r="F15" i="59"/>
  <c r="H15" i="59" s="1"/>
  <c r="M15" i="59" s="1"/>
  <c r="M9" i="59"/>
  <c r="L9" i="59"/>
  <c r="E9" i="59"/>
  <c r="L8" i="59"/>
  <c r="E8" i="59"/>
  <c r="M7" i="59"/>
  <c r="E7" i="59"/>
  <c r="E6" i="59"/>
  <c r="E6" i="58"/>
  <c r="E7" i="58"/>
  <c r="M7" i="58"/>
  <c r="E8" i="58"/>
  <c r="L8" i="58"/>
  <c r="E9" i="58"/>
  <c r="L9" i="58"/>
  <c r="M9" i="58"/>
  <c r="F15" i="58"/>
  <c r="H15" i="58"/>
  <c r="J15" i="58"/>
  <c r="L15" i="58"/>
  <c r="L24" i="58" s="1"/>
  <c r="M15" i="58"/>
  <c r="P15" i="58"/>
  <c r="C16" i="58"/>
  <c r="F16" i="58"/>
  <c r="H16" i="58"/>
  <c r="M16" i="58" s="1"/>
  <c r="K16" i="58"/>
  <c r="C17" i="58"/>
  <c r="F17" i="58"/>
  <c r="H17" i="58" s="1"/>
  <c r="M17" i="58" s="1"/>
  <c r="K17" i="58"/>
  <c r="F18" i="58"/>
  <c r="H18" i="58"/>
  <c r="J18" i="58"/>
  <c r="L18" i="58"/>
  <c r="M18" i="58"/>
  <c r="P18" i="58"/>
  <c r="C19" i="58"/>
  <c r="F19" i="58"/>
  <c r="H19" i="58"/>
  <c r="M19" i="58" s="1"/>
  <c r="J19" i="58"/>
  <c r="C20" i="58"/>
  <c r="F20" i="58"/>
  <c r="H20" i="58" s="1"/>
  <c r="M20" i="58" s="1"/>
  <c r="P20" i="58" s="1"/>
  <c r="J20" i="58"/>
  <c r="L20" i="58"/>
  <c r="C21" i="58"/>
  <c r="F21" i="58"/>
  <c r="H21" i="58"/>
  <c r="K21" i="58"/>
  <c r="O21" i="58"/>
  <c r="H22" i="58"/>
  <c r="J22" i="58"/>
  <c r="M22" i="58"/>
  <c r="H23" i="58"/>
  <c r="J23" i="58"/>
  <c r="L23" i="58"/>
  <c r="M23" i="58"/>
  <c r="H26" i="58"/>
  <c r="J26" i="58"/>
  <c r="L26" i="58"/>
  <c r="L34" i="58" s="1"/>
  <c r="M26" i="58"/>
  <c r="M34" i="58" s="1"/>
  <c r="P26" i="58"/>
  <c r="H27" i="58"/>
  <c r="J27" i="58"/>
  <c r="L27" i="58"/>
  <c r="M27" i="58"/>
  <c r="P27" i="58" s="1"/>
  <c r="H28" i="58"/>
  <c r="K28" i="58"/>
  <c r="M28" i="58" s="1"/>
  <c r="H29" i="58"/>
  <c r="K29" i="58"/>
  <c r="M29" i="58"/>
  <c r="H30" i="58"/>
  <c r="K30" i="58"/>
  <c r="M30" i="58"/>
  <c r="H31" i="58"/>
  <c r="J31" i="58"/>
  <c r="L31" i="58"/>
  <c r="M31" i="58"/>
  <c r="P31" i="58"/>
  <c r="H32" i="58"/>
  <c r="M32" i="58" s="1"/>
  <c r="K32" i="58"/>
  <c r="H33" i="58"/>
  <c r="J33" i="58"/>
  <c r="L33" i="58"/>
  <c r="M33" i="58"/>
  <c r="P33" i="58"/>
  <c r="F36" i="58"/>
  <c r="H36" i="58"/>
  <c r="J36" i="58"/>
  <c r="L36" i="58"/>
  <c r="L39" i="58" s="1"/>
  <c r="M36" i="58"/>
  <c r="M39" i="58" s="1"/>
  <c r="P36" i="58"/>
  <c r="P39" i="58" s="1"/>
  <c r="F37" i="58"/>
  <c r="H37" i="58"/>
  <c r="M37" i="58" s="1"/>
  <c r="P37" i="58" s="1"/>
  <c r="J37" i="58"/>
  <c r="H42" i="58"/>
  <c r="J42" i="58"/>
  <c r="M42" i="58"/>
  <c r="L43" i="58"/>
  <c r="M43" i="58"/>
  <c r="P43" i="58"/>
  <c r="J48" i="28"/>
  <c r="J47" i="28" s="1"/>
  <c r="J50" i="28" s="1"/>
  <c r="F48" i="28"/>
  <c r="K48" i="28" s="1"/>
  <c r="K47" i="28"/>
  <c r="K50" i="28" s="1"/>
  <c r="I44" i="28"/>
  <c r="E44" i="28"/>
  <c r="D44" i="28"/>
  <c r="F44" i="28" s="1"/>
  <c r="K44" i="28" s="1"/>
  <c r="I43" i="28"/>
  <c r="E43" i="28"/>
  <c r="D43" i="28"/>
  <c r="I40" i="28"/>
  <c r="J40" i="28" s="1"/>
  <c r="F40" i="28"/>
  <c r="I39" i="28"/>
  <c r="J39" i="28" s="1"/>
  <c r="F39" i="28"/>
  <c r="K39" i="28" s="1"/>
  <c r="J38" i="28"/>
  <c r="I36" i="28"/>
  <c r="J36" i="28" s="1"/>
  <c r="F36" i="28"/>
  <c r="I35" i="28"/>
  <c r="J35" i="28" s="1"/>
  <c r="F35" i="28"/>
  <c r="I34" i="28"/>
  <c r="J34" i="28" s="1"/>
  <c r="F34" i="28"/>
  <c r="K34" i="28" s="1"/>
  <c r="I33" i="28"/>
  <c r="J33" i="28" s="1"/>
  <c r="F33" i="28"/>
  <c r="K33" i="28" s="1"/>
  <c r="I32" i="28"/>
  <c r="J32" i="28" s="1"/>
  <c r="F32" i="28"/>
  <c r="I31" i="28"/>
  <c r="J31" i="28" s="1"/>
  <c r="F31" i="28"/>
  <c r="I30" i="28"/>
  <c r="J30" i="28" s="1"/>
  <c r="F30" i="28"/>
  <c r="K30" i="28" s="1"/>
  <c r="I29" i="28"/>
  <c r="J29" i="28" s="1"/>
  <c r="F29" i="28"/>
  <c r="K29" i="28" s="1"/>
  <c r="I28" i="28"/>
  <c r="J28" i="28" s="1"/>
  <c r="F28" i="28"/>
  <c r="I24" i="28"/>
  <c r="I23" i="28"/>
  <c r="I19" i="28"/>
  <c r="E19" i="28"/>
  <c r="D19" i="28"/>
  <c r="F19" i="28" s="1"/>
  <c r="K19" i="28" s="1"/>
  <c r="I18" i="28"/>
  <c r="E18" i="28"/>
  <c r="D18" i="28"/>
  <c r="A18" i="28"/>
  <c r="I17" i="28"/>
  <c r="E17" i="28"/>
  <c r="D17" i="28"/>
  <c r="F17" i="28" s="1"/>
  <c r="K17" i="28" s="1"/>
  <c r="F31" i="57"/>
  <c r="D31" i="57"/>
  <c r="F30" i="57"/>
  <c r="D30" i="57"/>
  <c r="M30" i="57" s="1"/>
  <c r="M27" i="57"/>
  <c r="M26" i="57"/>
  <c r="M28" i="57" s="1"/>
  <c r="M25" i="57"/>
  <c r="F22" i="57"/>
  <c r="M21" i="57"/>
  <c r="G21" i="57"/>
  <c r="H21" i="57" s="1"/>
  <c r="K21" i="57" s="1"/>
  <c r="L21" i="57" s="1"/>
  <c r="G20" i="57"/>
  <c r="H20" i="57" s="1"/>
  <c r="K20" i="57" s="1"/>
  <c r="L20" i="57" s="1"/>
  <c r="D20" i="57"/>
  <c r="M20" i="57" s="1"/>
  <c r="B20" i="57"/>
  <c r="G19" i="57"/>
  <c r="H19" i="57" s="1"/>
  <c r="K19" i="57" s="1"/>
  <c r="L19" i="57" s="1"/>
  <c r="M19" i="57" s="1"/>
  <c r="G18" i="57"/>
  <c r="H18" i="57" s="1"/>
  <c r="K18" i="57" s="1"/>
  <c r="L18" i="57" s="1"/>
  <c r="D18" i="57"/>
  <c r="B18" i="57"/>
  <c r="G17" i="57"/>
  <c r="H17" i="57" s="1"/>
  <c r="K17" i="57" s="1"/>
  <c r="L17" i="57" s="1"/>
  <c r="D17" i="57"/>
  <c r="G16" i="57"/>
  <c r="H16" i="57" s="1"/>
  <c r="K16" i="57" s="1"/>
  <c r="L16" i="57" s="1"/>
  <c r="D16" i="57"/>
  <c r="M16" i="57" s="1"/>
  <c r="G15" i="57"/>
  <c r="H15" i="57" s="1"/>
  <c r="K15" i="57" s="1"/>
  <c r="L15" i="57" s="1"/>
  <c r="D15" i="57"/>
  <c r="M15" i="57" s="1"/>
  <c r="F14" i="57"/>
  <c r="D14" i="57"/>
  <c r="A14" i="57"/>
  <c r="A15" i="57" s="1"/>
  <c r="A16" i="57" s="1"/>
  <c r="A17" i="57" s="1"/>
  <c r="A18" i="57" s="1"/>
  <c r="A19" i="57" s="1"/>
  <c r="A20" i="57" s="1"/>
  <c r="A21" i="57" s="1"/>
  <c r="A22" i="57" s="1"/>
  <c r="F13" i="57"/>
  <c r="D13" i="57"/>
  <c r="M7" i="57"/>
  <c r="C7" i="57"/>
  <c r="M6" i="57"/>
  <c r="C6" i="57"/>
  <c r="M5" i="57"/>
  <c r="C5" i="57"/>
  <c r="C4" i="57"/>
  <c r="G43" i="26"/>
  <c r="G42" i="26"/>
  <c r="F40" i="26"/>
  <c r="G40" i="26" s="1"/>
  <c r="G39" i="26"/>
  <c r="F36" i="26"/>
  <c r="D36" i="26"/>
  <c r="G36" i="26" s="1"/>
  <c r="F35" i="26"/>
  <c r="D35" i="26"/>
  <c r="F32" i="26"/>
  <c r="G32" i="26" s="1"/>
  <c r="F31" i="26"/>
  <c r="G31" i="26" s="1"/>
  <c r="F30" i="26"/>
  <c r="G30" i="26" s="1"/>
  <c r="F29" i="26"/>
  <c r="G29" i="26" s="1"/>
  <c r="F28" i="26"/>
  <c r="G28" i="26" s="1"/>
  <c r="F27" i="26"/>
  <c r="G27" i="26" s="1"/>
  <c r="F23" i="26"/>
  <c r="G23" i="26" s="1"/>
  <c r="B23" i="26"/>
  <c r="F22" i="26"/>
  <c r="D22" i="26"/>
  <c r="G22" i="26" s="1"/>
  <c r="F21" i="26"/>
  <c r="D21" i="26"/>
  <c r="G21" i="26" s="1"/>
  <c r="F20" i="26"/>
  <c r="D20" i="26"/>
  <c r="G20" i="26" s="1"/>
  <c r="F19" i="26"/>
  <c r="D19" i="26"/>
  <c r="F18" i="26"/>
  <c r="D18" i="26"/>
  <c r="G18" i="26" s="1"/>
  <c r="F17" i="26"/>
  <c r="D17" i="26"/>
  <c r="F16" i="26"/>
  <c r="D16" i="26"/>
  <c r="G16" i="26" s="1"/>
  <c r="F15" i="26"/>
  <c r="D15" i="26"/>
  <c r="G15" i="26" s="1"/>
  <c r="F14" i="26"/>
  <c r="D14" i="26"/>
  <c r="G14" i="26" s="1"/>
  <c r="B14" i="26"/>
  <c r="A14" i="26"/>
  <c r="A15" i="26" s="1"/>
  <c r="A16" i="26" s="1"/>
  <c r="A17" i="26" s="1"/>
  <c r="A18" i="26" s="1"/>
  <c r="A19" i="26" s="1"/>
  <c r="A20" i="26" s="1"/>
  <c r="A21" i="26" s="1"/>
  <c r="A22" i="26" s="1"/>
  <c r="A23" i="26" s="1"/>
  <c r="F13" i="26"/>
  <c r="D13" i="26"/>
  <c r="G13" i="26" s="1"/>
  <c r="B13" i="26"/>
  <c r="G7" i="26"/>
  <c r="C7" i="26"/>
  <c r="G6" i="26"/>
  <c r="C6" i="26"/>
  <c r="G5" i="26"/>
  <c r="C5" i="26"/>
  <c r="C4" i="26"/>
  <c r="J23" i="38"/>
  <c r="J24" i="38"/>
  <c r="J21" i="38"/>
  <c r="J19" i="38"/>
  <c r="J17" i="38"/>
  <c r="J26" i="40"/>
  <c r="J24" i="40"/>
  <c r="J23" i="40"/>
  <c r="J22" i="40"/>
  <c r="J21" i="40"/>
  <c r="J50" i="24"/>
  <c r="J49" i="24" s="1"/>
  <c r="J37" i="24"/>
  <c r="J36" i="24" s="1"/>
  <c r="J35" i="24" s="1"/>
  <c r="J34" i="24" s="1"/>
  <c r="J18" i="53"/>
  <c r="J16" i="53"/>
  <c r="J15" i="53" s="1"/>
  <c r="J22" i="52"/>
  <c r="J21" i="52"/>
  <c r="J20" i="52"/>
  <c r="J19" i="52"/>
  <c r="J18" i="52"/>
  <c r="J17" i="52"/>
  <c r="J16" i="52"/>
  <c r="J15" i="52"/>
  <c r="J14" i="52"/>
  <c r="J13" i="52" s="1"/>
  <c r="M4" i="52" s="1"/>
  <c r="E31" i="8" s="1"/>
  <c r="J23" i="52"/>
  <c r="J24" i="18"/>
  <c r="J23" i="18" s="1"/>
  <c r="J22" i="18" s="1"/>
  <c r="J21" i="18"/>
  <c r="J32" i="18"/>
  <c r="J31" i="18"/>
  <c r="J30" i="18"/>
  <c r="J27" i="18"/>
  <c r="J28" i="18"/>
  <c r="J29" i="18"/>
  <c r="J35" i="17"/>
  <c r="J34" i="17" s="1"/>
  <c r="J21" i="17"/>
  <c r="J20" i="17"/>
  <c r="J19" i="17"/>
  <c r="J18" i="17"/>
  <c r="J17" i="17"/>
  <c r="E13" i="6"/>
  <c r="J17" i="49"/>
  <c r="J16" i="49"/>
  <c r="J15" i="49"/>
  <c r="J13" i="49"/>
  <c r="J18" i="49" s="1"/>
  <c r="E52" i="7" s="1"/>
  <c r="E51" i="7" s="1"/>
  <c r="M3" i="49"/>
  <c r="J16" i="42"/>
  <c r="J15" i="42" s="1"/>
  <c r="J13" i="42" s="1"/>
  <c r="J15" i="41"/>
  <c r="J13" i="41" s="1"/>
  <c r="B14" i="41"/>
  <c r="J20" i="40"/>
  <c r="J19" i="40"/>
  <c r="J17" i="40"/>
  <c r="J16" i="40"/>
  <c r="J26" i="39"/>
  <c r="J25" i="39" s="1"/>
  <c r="J24" i="39"/>
  <c r="J23" i="39"/>
  <c r="J22" i="39"/>
  <c r="J21" i="39"/>
  <c r="J20" i="39"/>
  <c r="J19" i="39"/>
  <c r="J18" i="39"/>
  <c r="J17" i="39"/>
  <c r="J16" i="39" s="1"/>
  <c r="J17" i="37"/>
  <c r="J16" i="37"/>
  <c r="J15" i="37"/>
  <c r="J13" i="37"/>
  <c r="J18" i="37" s="1"/>
  <c r="M3" i="37"/>
  <c r="J18" i="36"/>
  <c r="J17" i="36"/>
  <c r="J16" i="36"/>
  <c r="J15" i="36"/>
  <c r="J13" i="36"/>
  <c r="J19" i="36" s="1"/>
  <c r="E53" i="8" s="1"/>
  <c r="J18" i="35"/>
  <c r="J17" i="35"/>
  <c r="J16" i="35" s="1"/>
  <c r="J15" i="35" s="1"/>
  <c r="J13" i="35" s="1"/>
  <c r="J19" i="35" s="1"/>
  <c r="J17" i="34"/>
  <c r="J16" i="34"/>
  <c r="J15" i="34"/>
  <c r="J13" i="34"/>
  <c r="J18" i="34" s="1"/>
  <c r="E42" i="7" s="1"/>
  <c r="M3" i="34"/>
  <c r="J18" i="33"/>
  <c r="J16" i="33" s="1"/>
  <c r="J14" i="32"/>
  <c r="H14" i="32"/>
  <c r="M14" i="32" s="1"/>
  <c r="P14" i="32" s="1"/>
  <c r="L16" i="32"/>
  <c r="L9" i="32"/>
  <c r="E9" i="32"/>
  <c r="L8" i="32"/>
  <c r="E8" i="32"/>
  <c r="E7" i="32"/>
  <c r="E6" i="32"/>
  <c r="M45" i="28"/>
  <c r="M43" i="28"/>
  <c r="M49" i="26"/>
  <c r="M47" i="26"/>
  <c r="J47" i="24"/>
  <c r="J46" i="24" s="1"/>
  <c r="J44" i="24"/>
  <c r="J43" i="24"/>
  <c r="J42" i="24"/>
  <c r="J41" i="24"/>
  <c r="J40" i="24"/>
  <c r="J39" i="24" s="1"/>
  <c r="J38" i="24" s="1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J17" i="24"/>
  <c r="J17" i="23"/>
  <c r="J16" i="23" s="1"/>
  <c r="J15" i="23" s="1"/>
  <c r="J13" i="23" s="1"/>
  <c r="J18" i="23" s="1"/>
  <c r="J17" i="21"/>
  <c r="J16" i="21"/>
  <c r="J15" i="21" s="1"/>
  <c r="J14" i="21" s="1"/>
  <c r="J13" i="21" s="1"/>
  <c r="J18" i="21" s="1"/>
  <c r="J20" i="20"/>
  <c r="J19" i="20"/>
  <c r="J18" i="20"/>
  <c r="J17" i="20"/>
  <c r="J16" i="20" s="1"/>
  <c r="J15" i="20" s="1"/>
  <c r="J13" i="20" s="1"/>
  <c r="J23" i="19"/>
  <c r="J22" i="19"/>
  <c r="J21" i="19"/>
  <c r="J20" i="19"/>
  <c r="J19" i="19"/>
  <c r="J18" i="19"/>
  <c r="J17" i="19"/>
  <c r="J16" i="19"/>
  <c r="J15" i="19"/>
  <c r="J13" i="19" s="1"/>
  <c r="M3" i="19" s="1"/>
  <c r="M4" i="19"/>
  <c r="J20" i="18"/>
  <c r="J19" i="18"/>
  <c r="J18" i="18"/>
  <c r="J17" i="18"/>
  <c r="J26" i="17"/>
  <c r="J16" i="17"/>
  <c r="J15" i="17" s="1"/>
  <c r="J38" i="17"/>
  <c r="J37" i="17" s="1"/>
  <c r="J36" i="17" s="1"/>
  <c r="J31" i="17"/>
  <c r="J30" i="17" s="1"/>
  <c r="J23" i="17"/>
  <c r="J22" i="17" s="1"/>
  <c r="O42" i="16"/>
  <c r="O40" i="16"/>
  <c r="O39" i="16"/>
  <c r="O38" i="16"/>
  <c r="O37" i="16"/>
  <c r="O36" i="16"/>
  <c r="O34" i="16"/>
  <c r="O33" i="16"/>
  <c r="O32" i="16"/>
  <c r="O31" i="16"/>
  <c r="O30" i="16"/>
  <c r="O29" i="16"/>
  <c r="O28" i="16"/>
  <c r="O27" i="16"/>
  <c r="J27" i="16"/>
  <c r="O26" i="16"/>
  <c r="J26" i="16"/>
  <c r="O25" i="16"/>
  <c r="J25" i="16"/>
  <c r="O24" i="16"/>
  <c r="J24" i="16"/>
  <c r="O23" i="16"/>
  <c r="J23" i="16"/>
  <c r="O22" i="16"/>
  <c r="J22" i="16"/>
  <c r="O21" i="16"/>
  <c r="J21" i="16"/>
  <c r="O20" i="16"/>
  <c r="J20" i="16"/>
  <c r="O19" i="16"/>
  <c r="J19" i="16"/>
  <c r="O18" i="16"/>
  <c r="J18" i="16"/>
  <c r="O17" i="16"/>
  <c r="J17" i="16"/>
  <c r="O16" i="16"/>
  <c r="J16" i="16"/>
  <c r="J15" i="16" s="1"/>
  <c r="J14" i="16" s="1"/>
  <c r="J13" i="16" s="1"/>
  <c r="J28" i="16" s="1"/>
  <c r="J81" i="15"/>
  <c r="J80" i="15"/>
  <c r="J79" i="15"/>
  <c r="J78" i="15"/>
  <c r="J77" i="15"/>
  <c r="M4" i="15" s="1"/>
  <c r="J76" i="15"/>
  <c r="J75" i="15"/>
  <c r="J74" i="15" s="1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 s="1"/>
  <c r="J60" i="15"/>
  <c r="J59" i="15"/>
  <c r="J58" i="15"/>
  <c r="J57" i="15"/>
  <c r="J56" i="15"/>
  <c r="J55" i="15"/>
  <c r="J54" i="15"/>
  <c r="J53" i="15"/>
  <c r="J52" i="15" s="1"/>
  <c r="J51" i="15" s="1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5" i="15" s="1"/>
  <c r="J16" i="15"/>
  <c r="J17" i="14"/>
  <c r="J16" i="14"/>
  <c r="J15" i="14"/>
  <c r="J14" i="14"/>
  <c r="J13" i="14"/>
  <c r="J18" i="14" s="1"/>
  <c r="E27" i="8" s="1"/>
  <c r="M3" i="14"/>
  <c r="J16" i="13"/>
  <c r="J15" i="13" s="1"/>
  <c r="J14" i="13" s="1"/>
  <c r="J13" i="13" s="1"/>
  <c r="J17" i="13" s="1"/>
  <c r="J19" i="12"/>
  <c r="J18" i="12"/>
  <c r="J17" i="12"/>
  <c r="J16" i="12"/>
  <c r="J15" i="12"/>
  <c r="J14" i="12"/>
  <c r="J13" i="12"/>
  <c r="J20" i="12" s="1"/>
  <c r="E25" i="8" s="1"/>
  <c r="M3" i="12"/>
  <c r="J20" i="11"/>
  <c r="J19" i="11"/>
  <c r="J18" i="11" s="1"/>
  <c r="J17" i="11"/>
  <c r="J16" i="11"/>
  <c r="J15" i="11" s="1"/>
  <c r="J25" i="10"/>
  <c r="J24" i="10"/>
  <c r="J23" i="10"/>
  <c r="J22" i="10"/>
  <c r="J21" i="10"/>
  <c r="M3" i="10" s="1"/>
  <c r="J20" i="10"/>
  <c r="J19" i="10"/>
  <c r="J18" i="10"/>
  <c r="J17" i="10"/>
  <c r="J16" i="10"/>
  <c r="J15" i="10"/>
  <c r="J14" i="10"/>
  <c r="J13" i="10" s="1"/>
  <c r="J26" i="10" s="1"/>
  <c r="H18" i="9"/>
  <c r="H17" i="9"/>
  <c r="H16" i="9"/>
  <c r="H15" i="9"/>
  <c r="H14" i="9"/>
  <c r="H13" i="9"/>
  <c r="H19" i="9" s="1"/>
  <c r="K3" i="9"/>
  <c r="E63" i="8"/>
  <c r="D60" i="8"/>
  <c r="D57" i="8"/>
  <c r="D56" i="8"/>
  <c r="D55" i="8"/>
  <c r="D54" i="8"/>
  <c r="D53" i="8"/>
  <c r="D52" i="8"/>
  <c r="E51" i="8"/>
  <c r="D51" i="8"/>
  <c r="D50" i="8"/>
  <c r="D39" i="8"/>
  <c r="G29" i="2" s="1"/>
  <c r="D38" i="8"/>
  <c r="G28" i="2" s="1"/>
  <c r="D25" i="8"/>
  <c r="G14" i="2" s="1"/>
  <c r="D22" i="8"/>
  <c r="G11" i="2" s="1"/>
  <c r="E21" i="8"/>
  <c r="D21" i="8"/>
  <c r="G10" i="2" s="1"/>
  <c r="E16" i="8"/>
  <c r="E15" i="8"/>
  <c r="E14" i="8"/>
  <c r="E13" i="8"/>
  <c r="E12" i="8"/>
  <c r="E10" i="8"/>
  <c r="E9" i="8" s="1"/>
  <c r="D50" i="7"/>
  <c r="D48" i="7"/>
  <c r="D47" i="7"/>
  <c r="D46" i="7"/>
  <c r="D45" i="7"/>
  <c r="E44" i="7"/>
  <c r="D44" i="7"/>
  <c r="D43" i="7"/>
  <c r="D42" i="7"/>
  <c r="D41" i="7"/>
  <c r="E39" i="7"/>
  <c r="D39" i="7"/>
  <c r="E38" i="7"/>
  <c r="D38" i="7"/>
  <c r="E37" i="7"/>
  <c r="D37" i="7"/>
  <c r="D36" i="7"/>
  <c r="D35" i="7"/>
  <c r="E29" i="7"/>
  <c r="D24" i="7"/>
  <c r="D22" i="7"/>
  <c r="E21" i="7"/>
  <c r="D21" i="7"/>
  <c r="E17" i="7"/>
  <c r="E17" i="8" s="1"/>
  <c r="D17" i="7"/>
  <c r="D17" i="8" s="1"/>
  <c r="E16" i="7"/>
  <c r="E15" i="7"/>
  <c r="E14" i="7"/>
  <c r="E13" i="7"/>
  <c r="E12" i="7"/>
  <c r="E11" i="7" s="1"/>
  <c r="E9" i="7"/>
  <c r="E23" i="6"/>
  <c r="G23" i="6" s="1"/>
  <c r="E22" i="6"/>
  <c r="G22" i="6" s="1"/>
  <c r="E21" i="6"/>
  <c r="E20" i="6"/>
  <c r="E17" i="6"/>
  <c r="D17" i="6"/>
  <c r="G16" i="6"/>
  <c r="G15" i="6"/>
  <c r="E15" i="6"/>
  <c r="E14" i="6"/>
  <c r="E12" i="6"/>
  <c r="E11" i="6" s="1"/>
  <c r="E9" i="6"/>
  <c r="J12" i="5"/>
  <c r="J11" i="5"/>
  <c r="J10" i="5" s="1"/>
  <c r="J9" i="5" s="1"/>
  <c r="J13" i="5" s="1"/>
  <c r="J15" i="4"/>
  <c r="J14" i="4"/>
  <c r="J13" i="4"/>
  <c r="J12" i="4"/>
  <c r="E15" i="3"/>
  <c r="E11" i="3"/>
  <c r="E9" i="3"/>
  <c r="Q124" i="2"/>
  <c r="Q112" i="2"/>
  <c r="Q93" i="2"/>
  <c r="Q27" i="2"/>
  <c r="Q9" i="2"/>
  <c r="Q50" i="1"/>
  <c r="AB2" i="1" s="1"/>
  <c r="Q47" i="1"/>
  <c r="AA2" i="1" s="1"/>
  <c r="Q35" i="1"/>
  <c r="Z2" i="1" s="1"/>
  <c r="X13" i="1"/>
  <c r="Y13" i="1" s="1"/>
  <c r="Y12" i="1"/>
  <c r="X15" i="1"/>
  <c r="Q9" i="1"/>
  <c r="X2" i="1" s="1"/>
  <c r="E35" i="7" l="1"/>
  <c r="E38" i="8"/>
  <c r="E33" i="7"/>
  <c r="E34" i="8"/>
  <c r="M4" i="21"/>
  <c r="J14" i="11"/>
  <c r="J13" i="11" s="1"/>
  <c r="J21" i="11" s="1"/>
  <c r="J15" i="39"/>
  <c r="J13" i="39" s="1"/>
  <c r="J27" i="28"/>
  <c r="J41" i="28" s="1"/>
  <c r="K31" i="28"/>
  <c r="K40" i="28"/>
  <c r="K38" i="28" s="1"/>
  <c r="F18" i="28"/>
  <c r="K18" i="28" s="1"/>
  <c r="K16" i="28" s="1"/>
  <c r="K32" i="28"/>
  <c r="J16" i="24"/>
  <c r="J15" i="24" s="1"/>
  <c r="J14" i="24" s="1"/>
  <c r="J13" i="24" s="1"/>
  <c r="I23" i="26"/>
  <c r="G19" i="26"/>
  <c r="G35" i="26"/>
  <c r="G37" i="26" s="1"/>
  <c r="J11" i="4"/>
  <c r="J10" i="4" s="1"/>
  <c r="J9" i="4" s="1"/>
  <c r="J16" i="4" s="1"/>
  <c r="E19" i="6"/>
  <c r="J25" i="17"/>
  <c r="M3" i="17" s="1"/>
  <c r="E28" i="8"/>
  <c r="E27" i="7"/>
  <c r="E22" i="7"/>
  <c r="E22" i="8"/>
  <c r="E43" i="7"/>
  <c r="E54" i="8"/>
  <c r="E52" i="8"/>
  <c r="E45" i="7"/>
  <c r="P24" i="58"/>
  <c r="M3" i="13"/>
  <c r="E25" i="7"/>
  <c r="E26" i="8"/>
  <c r="J27" i="39"/>
  <c r="M3" i="39"/>
  <c r="M24" i="58"/>
  <c r="L44" i="58" s="1"/>
  <c r="M7" i="20"/>
  <c r="J21" i="20"/>
  <c r="G10" i="6"/>
  <c r="G9" i="6" s="1"/>
  <c r="E64" i="8"/>
  <c r="E62" i="8" s="1"/>
  <c r="P34" i="58"/>
  <c r="J16" i="18"/>
  <c r="J15" i="18" s="1"/>
  <c r="M32" i="57"/>
  <c r="E24" i="7"/>
  <c r="M4" i="16"/>
  <c r="J14" i="53"/>
  <c r="J13" i="53" s="1"/>
  <c r="M17" i="57"/>
  <c r="L25" i="59"/>
  <c r="M31" i="57"/>
  <c r="K35" i="28"/>
  <c r="M33" i="59"/>
  <c r="G35" i="60"/>
  <c r="G37" i="60" s="1"/>
  <c r="E26" i="7"/>
  <c r="G33" i="26"/>
  <c r="G26" i="26" s="1"/>
  <c r="G17" i="26"/>
  <c r="G12" i="26" s="1"/>
  <c r="G24" i="26" s="1"/>
  <c r="H25" i="26" s="1"/>
  <c r="M18" i="57"/>
  <c r="K28" i="28"/>
  <c r="K36" i="28"/>
  <c r="J24" i="19"/>
  <c r="G21" i="60"/>
  <c r="G12" i="60" s="1"/>
  <c r="G24" i="60" s="1"/>
  <c r="J19" i="41"/>
  <c r="M5" i="41"/>
  <c r="E59" i="8" s="1"/>
  <c r="J40" i="17"/>
  <c r="J39" i="17" s="1"/>
  <c r="M5" i="17" s="1"/>
  <c r="G44" i="60"/>
  <c r="M25" i="59"/>
  <c r="P15" i="59"/>
  <c r="P25" i="59" s="1"/>
  <c r="M31" i="59"/>
  <c r="P27" i="59"/>
  <c r="P31" i="59" s="1"/>
  <c r="M36" i="59"/>
  <c r="P33" i="59"/>
  <c r="P36" i="59" s="1"/>
  <c r="L41" i="59"/>
  <c r="J17" i="28"/>
  <c r="J18" i="28"/>
  <c r="J19" i="28"/>
  <c r="K23" i="28"/>
  <c r="J23" i="28"/>
  <c r="K24" i="28"/>
  <c r="J24" i="28"/>
  <c r="D45" i="28"/>
  <c r="D50" i="28" s="1"/>
  <c r="F43" i="28"/>
  <c r="E45" i="28"/>
  <c r="E50" i="28" s="1"/>
  <c r="J43" i="28"/>
  <c r="J44" i="28"/>
  <c r="G13" i="57"/>
  <c r="H13" i="57" s="1"/>
  <c r="K13" i="57" s="1"/>
  <c r="L13" i="57" s="1"/>
  <c r="M13" i="57" s="1"/>
  <c r="G14" i="57"/>
  <c r="H14" i="57" s="1"/>
  <c r="K14" i="57" s="1"/>
  <c r="L14" i="57" s="1"/>
  <c r="M14" i="57" s="1"/>
  <c r="M22" i="57"/>
  <c r="G22" i="57"/>
  <c r="H22" i="57" s="1"/>
  <c r="K22" i="57" s="1"/>
  <c r="L22" i="57" s="1"/>
  <c r="G44" i="26"/>
  <c r="G45" i="26" s="1"/>
  <c r="Q126" i="2"/>
  <c r="E18" i="3"/>
  <c r="E24" i="6"/>
  <c r="E18" i="7"/>
  <c r="J15" i="33"/>
  <c r="J13" i="33" s="1"/>
  <c r="E61" i="8"/>
  <c r="J17" i="42"/>
  <c r="J19" i="53"/>
  <c r="M3" i="53"/>
  <c r="E35" i="8" s="1"/>
  <c r="J22" i="38"/>
  <c r="M16" i="32"/>
  <c r="L17" i="32" s="1"/>
  <c r="P16" i="32"/>
  <c r="J14" i="15"/>
  <c r="J13" i="15" s="1"/>
  <c r="J82" i="15" s="1"/>
  <c r="L53" i="15" s="1"/>
  <c r="E11" i="8"/>
  <c r="E18" i="8" s="1"/>
  <c r="J26" i="18"/>
  <c r="J25" i="18" s="1"/>
  <c r="P3" i="15"/>
  <c r="P4" i="15" s="1"/>
  <c r="N7" i="15"/>
  <c r="M3" i="11" l="1"/>
  <c r="T4" i="58"/>
  <c r="E44" i="8" s="1"/>
  <c r="Q28" i="1" s="1"/>
  <c r="T44" i="58"/>
  <c r="E32" i="8"/>
  <c r="E31" i="7"/>
  <c r="K27" i="28"/>
  <c r="K41" i="28" s="1"/>
  <c r="E33" i="8"/>
  <c r="E32" i="7"/>
  <c r="G45" i="60"/>
  <c r="I2" i="60" s="1"/>
  <c r="E46" i="8" s="1"/>
  <c r="Q30" i="1" s="1"/>
  <c r="E47" i="7"/>
  <c r="E56" i="8"/>
  <c r="J19" i="33"/>
  <c r="M4" i="33"/>
  <c r="J51" i="24"/>
  <c r="M3" i="24"/>
  <c r="J43" i="17"/>
  <c r="E29" i="8" s="1"/>
  <c r="J3" i="26"/>
  <c r="E41" i="8" s="1"/>
  <c r="Q25" i="1" s="1"/>
  <c r="J43" i="26"/>
  <c r="J59" i="59"/>
  <c r="T3" i="59"/>
  <c r="E45" i="8" s="1"/>
  <c r="Q29" i="1" s="1"/>
  <c r="T41" i="59"/>
  <c r="J45" i="28"/>
  <c r="F45" i="28"/>
  <c r="F50" i="28" s="1"/>
  <c r="K43" i="28"/>
  <c r="K45" i="28" s="1"/>
  <c r="J22" i="28"/>
  <c r="K22" i="28"/>
  <c r="K25" i="28" s="1"/>
  <c r="J16" i="28"/>
  <c r="J25" i="28" s="1"/>
  <c r="M12" i="57"/>
  <c r="M23" i="57" s="1"/>
  <c r="M33" i="57" s="1"/>
  <c r="O2" i="57" s="1"/>
  <c r="E42" i="8" s="1"/>
  <c r="Q26" i="1" s="1"/>
  <c r="G21" i="6"/>
  <c r="E46" i="7"/>
  <c r="E55" i="8"/>
  <c r="E57" i="8"/>
  <c r="E48" i="7"/>
  <c r="M42" i="28"/>
  <c r="M49" i="28" s="1"/>
  <c r="U4" i="32"/>
  <c r="E47" i="8"/>
  <c r="T17" i="32"/>
  <c r="M46" i="26"/>
  <c r="M53" i="26" s="1"/>
  <c r="I46" i="26"/>
  <c r="J14" i="18"/>
  <c r="J13" i="18" s="1"/>
  <c r="E24" i="8"/>
  <c r="E23" i="7"/>
  <c r="E23" i="8" l="1"/>
  <c r="G12" i="6"/>
  <c r="J42" i="60"/>
  <c r="I45" i="60"/>
  <c r="I46" i="60" s="1"/>
  <c r="M45" i="60"/>
  <c r="M52" i="60" s="1"/>
  <c r="E60" i="8"/>
  <c r="E58" i="8" s="1"/>
  <c r="E50" i="7"/>
  <c r="E49" i="7" s="1"/>
  <c r="E28" i="7"/>
  <c r="E41" i="7"/>
  <c r="E50" i="8"/>
  <c r="E49" i="8" s="1"/>
  <c r="E40" i="7" s="1"/>
  <c r="Q24" i="1"/>
  <c r="E39" i="8"/>
  <c r="E36" i="7"/>
  <c r="K51" i="28"/>
  <c r="K54" i="28" s="1"/>
  <c r="N3" i="28" s="1"/>
  <c r="E43" i="8" s="1"/>
  <c r="Q27" i="1" s="1"/>
  <c r="J51" i="28"/>
  <c r="G14" i="6"/>
  <c r="J33" i="18"/>
  <c r="M4" i="18"/>
  <c r="F13" i="6" s="1"/>
  <c r="G20" i="6"/>
  <c r="G19" i="6" s="1"/>
  <c r="L12" i="4"/>
  <c r="E37" i="8" l="1"/>
  <c r="E34" i="7" s="1"/>
  <c r="Q22" i="1"/>
  <c r="X11" i="1"/>
  <c r="Y11" i="1" s="1"/>
  <c r="K55" i="28"/>
  <c r="K53" i="28"/>
  <c r="G13" i="6"/>
  <c r="G11" i="6" s="1"/>
  <c r="G24" i="6" s="1"/>
  <c r="F24" i="6"/>
  <c r="E30" i="8"/>
  <c r="E20" i="8" s="1"/>
  <c r="E30" i="7"/>
  <c r="Y2" i="1" l="1"/>
  <c r="Q52" i="1"/>
  <c r="K58" i="28"/>
  <c r="K60" i="28"/>
  <c r="K57" i="28"/>
  <c r="K59" i="28"/>
  <c r="E65" i="8"/>
  <c r="E66" i="8" s="1"/>
  <c r="E20" i="7"/>
  <c r="E53" i="7" s="1"/>
  <c r="E54" i="7" s="1"/>
  <c r="K61" i="28" l="1"/>
</calcChain>
</file>

<file path=xl/sharedStrings.xml><?xml version="1.0" encoding="utf-8"?>
<sst xmlns="http://schemas.openxmlformats.org/spreadsheetml/2006/main" count="3713" uniqueCount="1068">
  <si>
    <t xml:space="preserve">PEMERINTAH DESA PANDANLANDUNG  </t>
  </si>
  <si>
    <t>Bidang</t>
  </si>
  <si>
    <t>: PENYELENGGARAAN PEMERINTAHAN DESA</t>
  </si>
  <si>
    <t>Kegiatan</t>
  </si>
  <si>
    <t xml:space="preserve">Waktu </t>
  </si>
  <si>
    <t>: 12 Bulan</t>
  </si>
  <si>
    <t>Output</t>
  </si>
  <si>
    <t>: Pembayaran Siltap dan Tunjangan Kepala Desa</t>
  </si>
  <si>
    <t>RINCIAN</t>
  </si>
  <si>
    <t>OB</t>
  </si>
  <si>
    <t>KODE</t>
  </si>
  <si>
    <t>Pj. Kepala Desa Pandanlandung</t>
  </si>
  <si>
    <t>U R A I A N</t>
  </si>
  <si>
    <t>VOLUME</t>
  </si>
  <si>
    <t>HARGA SATUAN</t>
  </si>
  <si>
    <t>JUMLAH (Rp)</t>
  </si>
  <si>
    <t>BELANJA</t>
  </si>
  <si>
    <t>5.1.1.</t>
  </si>
  <si>
    <t>Penghasilan Tetap dan Tunjangan Kepala Desa</t>
  </si>
  <si>
    <t>5.1.1.01.</t>
  </si>
  <si>
    <t>5.1.1.02.</t>
  </si>
  <si>
    <t>Pelaksana Kegiatan</t>
  </si>
  <si>
    <t>Pandanlandung, 29 Desember 2023</t>
  </si>
  <si>
    <t>RENCANA ANGGARAN BIAYA (RAB)</t>
  </si>
  <si>
    <t>TAHUN ANGGARAN 2024</t>
  </si>
  <si>
    <t>ADD</t>
  </si>
  <si>
    <t>DESA PANDANLANDUNG KECAMATAN WAGIR KABUPATEN MALANG</t>
  </si>
  <si>
    <t>No</t>
  </si>
  <si>
    <t>Jenis Kegiatan</t>
  </si>
  <si>
    <t>Lokasi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</si>
  <si>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</si>
  <si>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</si>
  <si>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</si>
  <si>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</si>
  <si>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</si>
  <si>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</si>
  <si>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</si>
  <si>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</si>
  <si>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</si>
  <si>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</si>
  <si>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JUMLAH PENGELUARAN PER SUMBER DANA</t>
  </si>
  <si>
    <t>SISA DARI PAGU</t>
  </si>
  <si>
    <t>BIDANG I</t>
  </si>
  <si>
    <t>Desa</t>
  </si>
  <si>
    <t>1 OB</t>
  </si>
  <si>
    <t>1 Org</t>
  </si>
  <si>
    <t>12 Bulan</t>
  </si>
  <si>
    <t>Swakelola</t>
  </si>
  <si>
    <t>13 OB</t>
  </si>
  <si>
    <t>13 Org</t>
  </si>
  <si>
    <t>DDS</t>
  </si>
  <si>
    <t>1 Paket</t>
  </si>
  <si>
    <t>14 Org</t>
  </si>
  <si>
    <t>ADD, DDS</t>
  </si>
  <si>
    <t>PBH</t>
  </si>
  <si>
    <t>Penyediaan Tunjangan BPD</t>
  </si>
  <si>
    <t>9 OB</t>
  </si>
  <si>
    <t>9 Org</t>
  </si>
  <si>
    <t>PAD</t>
  </si>
  <si>
    <t>Ops Pemdes</t>
  </si>
  <si>
    <t>1 Ls</t>
  </si>
  <si>
    <t>Sarana Prasana Kantor Desa</t>
  </si>
  <si>
    <t>Penyelenggaraan Musdes</t>
  </si>
  <si>
    <t>Terlaksananya Musdes Reguler</t>
  </si>
  <si>
    <t>1 Unit</t>
  </si>
  <si>
    <t>Juni</t>
  </si>
  <si>
    <t>Penyusunan RKPDes</t>
  </si>
  <si>
    <t>Tersusunnya RKPDesa</t>
  </si>
  <si>
    <t>Penyusunan Kebijakan Desa</t>
  </si>
  <si>
    <t>Pembuatan Perdes</t>
  </si>
  <si>
    <t>Tersusunnya Perdes-perdes di Desa</t>
  </si>
  <si>
    <t>Pemungutan SPPT PBB</t>
  </si>
  <si>
    <t>Penyampaian SPPT PBB kepada WP</t>
  </si>
  <si>
    <t>Tersampaikannya SPPT kepada WP</t>
  </si>
  <si>
    <t>BIDANG PELAKSANAAN PEMBANGUNAN DESA</t>
  </si>
  <si>
    <t>BIDANG II</t>
  </si>
  <si>
    <t>Insentif Guru TPQ dan PAUD</t>
  </si>
  <si>
    <t>Guru Paud dan TPQ mendapat bantuan honor pengajar</t>
  </si>
  <si>
    <t>Penyelenggaraan Posyandu</t>
  </si>
  <si>
    <t>Terselenggaranya Posyandu di Desa</t>
  </si>
  <si>
    <t>Pemberian Makanan Tambahan Balita dan Lansia</t>
  </si>
  <si>
    <t>12 POS</t>
  </si>
  <si>
    <t>RW 005</t>
  </si>
  <si>
    <t>Agustus</t>
  </si>
  <si>
    <t>September</t>
  </si>
  <si>
    <t>BIDANG PEMBINAAN KEMASYARAKATAN</t>
  </si>
  <si>
    <t>BIDANG III</t>
  </si>
  <si>
    <t>Pembinaan LPMD</t>
  </si>
  <si>
    <t>Penataan Kelembagaan LPMD</t>
  </si>
  <si>
    <t>Revitalisasi Tugas dan Fungsi LPMD</t>
  </si>
  <si>
    <t>1 Lembaga</t>
  </si>
  <si>
    <t>11 Org</t>
  </si>
  <si>
    <t>Pembinaan KIM</t>
  </si>
  <si>
    <t>Penataan Kelembagaan KIM</t>
  </si>
  <si>
    <t>Revitalisasi Tugas dan Fungsi KIM</t>
  </si>
  <si>
    <t>Penataan Kelembagaan Olahraga</t>
  </si>
  <si>
    <t>Revitalisasi Tugas dan Fungsi Lembaga Olahraga</t>
  </si>
  <si>
    <t>Penataan Kelembagaan Kesenian</t>
  </si>
  <si>
    <t>Revitalisasi Tugas dan Fungsi Lembaga Kesenian</t>
  </si>
  <si>
    <t>Perlengkapan Linmas Masih Belum memadai</t>
  </si>
  <si>
    <t>Memiliki perlengkapan dasar dalam menjalankan tugas</t>
  </si>
  <si>
    <t>32 Org</t>
  </si>
  <si>
    <t>1 Kali</t>
  </si>
  <si>
    <t>Pembinaan Forum Anak Desa (FAD)</t>
  </si>
  <si>
    <t>Pelaksanaan PPA</t>
  </si>
  <si>
    <t>Refocusing DRPPA</t>
  </si>
  <si>
    <t>Operasional PKK</t>
  </si>
  <si>
    <t>Pemenuhan Operasional PKK Desa</t>
  </si>
  <si>
    <t>Terpenuhinya Kebutuhan Operasional Rutin PKK Desa</t>
  </si>
  <si>
    <t>PKK Desa</t>
  </si>
  <si>
    <t>BIDANG IV</t>
  </si>
  <si>
    <t>Pelatihan PKK Desa, dan PKK RW</t>
  </si>
  <si>
    <t>Terlaksananya Pemberdayaan Wanita Desa</t>
  </si>
  <si>
    <t>Pelatihan PKK</t>
  </si>
  <si>
    <t>Terlaksananya Perlindungan Anak</t>
  </si>
  <si>
    <t>BIDANG V</t>
  </si>
  <si>
    <t>BLT DD</t>
  </si>
  <si>
    <t>Terlaksananya penghapusan Kemiskinan Ekstrem</t>
  </si>
  <si>
    <t>KPM</t>
  </si>
  <si>
    <t>40 KPM</t>
  </si>
  <si>
    <t>JUMLAH RKPDESA TAHUN ANGGARAN 2024</t>
  </si>
  <si>
    <t>Pandanlandung, 15 Desember 2023</t>
  </si>
  <si>
    <t>Penghasilan Tetap dan Tunjangan Perangkat Desa</t>
  </si>
  <si>
    <t>01</t>
  </si>
  <si>
    <t>02</t>
  </si>
  <si>
    <t>03</t>
  </si>
  <si>
    <t>04</t>
  </si>
  <si>
    <t>05</t>
  </si>
  <si>
    <t>06</t>
  </si>
  <si>
    <t>Penghasilan Tetap Perangkat Desa</t>
  </si>
  <si>
    <t>Sekretaris Desa</t>
  </si>
  <si>
    <t>Kepala Urusan</t>
  </si>
  <si>
    <t>Kepala Seksi</t>
  </si>
  <si>
    <t>Kepala Dusun</t>
  </si>
  <si>
    <t>PENYELENGGARAAN PEMERINTAHAN DESA</t>
  </si>
  <si>
    <t>Penyediaan Penghasilan Tetap dan Tunjangan Perangkat Desa</t>
  </si>
  <si>
    <t>Pembayaran Siltap dan Tunjangan Perangkat Desa</t>
  </si>
  <si>
    <t>:</t>
  </si>
  <si>
    <t>DAFTAR USULAN RENCANA KERJA PEMERINTAH DESA (DU-RKPDESA)</t>
  </si>
  <si>
    <t>APBD</t>
  </si>
  <si>
    <t>Dinas Terkait</t>
  </si>
  <si>
    <t>RW 002</t>
  </si>
  <si>
    <t>RW 004</t>
  </si>
  <si>
    <t>RW 006</t>
  </si>
  <si>
    <t>RW 007</t>
  </si>
  <si>
    <t>Pelatihan Linmas</t>
  </si>
  <si>
    <t>Sudah Ada Destana</t>
  </si>
  <si>
    <t>Peningkatan Kapasitas Linmas Dalam Kesiapsiagaan Bencana</t>
  </si>
  <si>
    <t>Linmas</t>
  </si>
  <si>
    <t>BPBD</t>
  </si>
  <si>
    <t>URAIAN</t>
  </si>
  <si>
    <t>ANGGARAN (Rp.)</t>
  </si>
  <si>
    <t>SUMBER DANA</t>
  </si>
  <si>
    <t>DESA PANDANLANDUNG</t>
  </si>
  <si>
    <t>RINCIAN ANGGARAN PENDAPATAN</t>
  </si>
  <si>
    <t>4.</t>
  </si>
  <si>
    <t>4.2.</t>
  </si>
  <si>
    <t>4.1.</t>
  </si>
  <si>
    <t>4.3.</t>
  </si>
  <si>
    <t>PENDAPATAN</t>
  </si>
  <si>
    <t>Pendapatan Asli Desa</t>
  </si>
  <si>
    <t>Pendapatan Transfer</t>
  </si>
  <si>
    <t>Pendapatan Lain-Lain</t>
  </si>
  <si>
    <t>1</t>
  </si>
  <si>
    <t>2</t>
  </si>
  <si>
    <t>3</t>
  </si>
  <si>
    <t>4</t>
  </si>
  <si>
    <t>Alokasi Dana Desa</t>
  </si>
  <si>
    <t>Dana Desa</t>
  </si>
  <si>
    <t>Pendapatan Bagi Hasil Pajak dan Retribusi</t>
  </si>
  <si>
    <t>Bagi Hasil Kerjasama Antar Desa</t>
  </si>
  <si>
    <t>Hasil Pengelolaan TKD</t>
  </si>
  <si>
    <t>JUMLAH PENDAPATAN</t>
  </si>
  <si>
    <t>DLL</t>
  </si>
  <si>
    <t>TERPAKAI</t>
  </si>
  <si>
    <t>SISA</t>
  </si>
  <si>
    <t>Belanja Barang dan Perlengkapan</t>
  </si>
  <si>
    <t>LS</t>
  </si>
  <si>
    <t>Pembayaran Tunjangan BPD</t>
  </si>
  <si>
    <t>Tunjangan Kedudukan BPD</t>
  </si>
  <si>
    <t>5.1.4.</t>
  </si>
  <si>
    <t>5.1.4.01</t>
  </si>
  <si>
    <t>Wakil Ketua</t>
  </si>
  <si>
    <t>Ketua</t>
  </si>
  <si>
    <t>Anggota</t>
  </si>
  <si>
    <t xml:space="preserve">    01.  Kepala Desa                                    </t>
  </si>
  <si>
    <t>Penyediaan Operasional BPD (Rapat, ATK, Konsumsi, Pakaian Seragam, dll)</t>
  </si>
  <si>
    <t>Bantuan Operasional BPD</t>
  </si>
  <si>
    <t>1.01.06</t>
  </si>
  <si>
    <t>5.2.5</t>
  </si>
  <si>
    <t>Belanja Operasional Perkantoran</t>
  </si>
  <si>
    <t>Operasional BPD</t>
  </si>
  <si>
    <t>NOVIA RAHAYU</t>
  </si>
  <si>
    <t>Penyediaan Insentif / Operasional RT/RW</t>
  </si>
  <si>
    <t>Insentif RT dan RW</t>
  </si>
  <si>
    <t>Belanja Operasional RT RW</t>
  </si>
  <si>
    <t>Belanja Operasional RT/RW</t>
  </si>
  <si>
    <t>5.2.5.</t>
  </si>
  <si>
    <t>5.2.5.08.</t>
  </si>
  <si>
    <t>CAHYA DWI ANANTA</t>
  </si>
  <si>
    <t>Penyediaan Operasional Pemerintah Desa yang bersumber dari Dana Desa</t>
  </si>
  <si>
    <t>Operasional Pemdes 3% dari Dana Desa</t>
  </si>
  <si>
    <t>1.01.08</t>
  </si>
  <si>
    <t>5.2.1.06.</t>
  </si>
  <si>
    <t>Dukungan Kegiatan Seremonial Desa</t>
  </si>
  <si>
    <t>5.2.1.99.</t>
  </si>
  <si>
    <t>Belanja Barang dan Perlengkapan lainnya</t>
  </si>
  <si>
    <t>Belanja Konsumsi</t>
  </si>
  <si>
    <t>5.2.1.</t>
  </si>
  <si>
    <t>Belanja Alat Tulis Kantor dan Benda Pos</t>
  </si>
  <si>
    <t>Belanja Makan dan Minum</t>
  </si>
  <si>
    <t>5.2.2.</t>
  </si>
  <si>
    <t>Belanja Jasa Honorarium PKPKD dan PPKD</t>
  </si>
  <si>
    <t>PKPKD</t>
  </si>
  <si>
    <t>Koordinator PPKD</t>
  </si>
  <si>
    <t>Bendahara Desa</t>
  </si>
  <si>
    <t>Belanja Jasa Honorarium</t>
  </si>
  <si>
    <t>5.2.2.05.</t>
  </si>
  <si>
    <t>Belanja Jasa Honorarium Petugas</t>
  </si>
  <si>
    <t>5.2.5.01.</t>
  </si>
  <si>
    <t>Belanja Jasa Langganan Listrik</t>
  </si>
  <si>
    <t>Bln</t>
  </si>
  <si>
    <t>5.2.5.99.</t>
  </si>
  <si>
    <t>Belanja Operasional Perkantoran Lainnya</t>
  </si>
  <si>
    <t>Hosting Server</t>
  </si>
  <si>
    <t>Domain (pandanlandung.id)</t>
  </si>
  <si>
    <t>Maintenance</t>
  </si>
  <si>
    <t>Penyediaan Sarana (Aset Tetap) Perkantoran/Pemerintahan</t>
  </si>
  <si>
    <t>Sarana dan Prasarana Kantor Desa</t>
  </si>
  <si>
    <t>1.02.03.</t>
  </si>
  <si>
    <t>Belanja Modal Lainnya</t>
  </si>
  <si>
    <t>1.04.08.</t>
  </si>
  <si>
    <t>5.2.3.96.</t>
  </si>
  <si>
    <t>Belanja Jasa Honorarium Panitia Pelaksana Kegiatan</t>
  </si>
  <si>
    <t>Sekretaris</t>
  </si>
  <si>
    <t>Pkt</t>
  </si>
  <si>
    <t>Lbr</t>
  </si>
  <si>
    <t>1.04.02.</t>
  </si>
  <si>
    <t>Penyelenggaraan Musdes RKPDesa</t>
  </si>
  <si>
    <t>Ketua Tim Verifikasi</t>
  </si>
  <si>
    <t>Penyelenggaraan Musdes APBDesa</t>
  </si>
  <si>
    <t>Penyusunan Dokumen Perencanaan Desa dan Keuangan Desa (RPJMDes, RKPDes)</t>
  </si>
  <si>
    <t>Penyusunan RKPDes dan APBDesa</t>
  </si>
  <si>
    <t>Penyelenggaraan Musyawarah Desa Lainnya (Musdus, Rembug Desa Non Reguler)</t>
  </si>
  <si>
    <t xml:space="preserve">Konsumsi </t>
  </si>
  <si>
    <t>Penyelenggaraan Musyawarah Desa Non Reguler</t>
  </si>
  <si>
    <t xml:space="preserve">Penyelenggaraan Musdes Penggalian Aspirasi </t>
  </si>
  <si>
    <t>Penyusunan Kebijakan Desa (Peraturan Desa, Peraturan Kepala Desa, selain RKPDes dan APBDes)</t>
  </si>
  <si>
    <t>Penyusunan Peraturan di Desa (Non Reguler)</t>
  </si>
  <si>
    <t>ATK</t>
  </si>
  <si>
    <t>1.04.06.</t>
  </si>
  <si>
    <t>Bantuan Operasional Penyusunan Draf Kebijakan Desa</t>
  </si>
  <si>
    <t>Administrasi Pajak Bumi dan Bangunan (PBB)</t>
  </si>
  <si>
    <t>Insentif Petugas Penyampaian dan Penagihan SPPT PBB</t>
  </si>
  <si>
    <t>5.2.2.99.</t>
  </si>
  <si>
    <t>Belanja Jasa Honorarium Lainnya</t>
  </si>
  <si>
    <t>Jasa Penagihan SPPT PBB</t>
  </si>
  <si>
    <t>Jasa Penyampaian SPPT PBB</t>
  </si>
  <si>
    <t>2.01.01</t>
  </si>
  <si>
    <t>Bantuan Honor/Insentif Guru TPQ dan PAUD</t>
  </si>
  <si>
    <t>MOH IKHSAN</t>
  </si>
  <si>
    <t>Penyelanggaraan PAUD.TPA/TKA/TPQ/Madrasah Non Formal Milik Desa (Honor, Pakaian, dll)</t>
  </si>
  <si>
    <t>Honor/Insentif Guru TPQ dan PAUD</t>
  </si>
  <si>
    <t>Penyelenggaraan Posyandu (PMT, Kelas Ibu Hamil, Lansia, Insentif)</t>
  </si>
  <si>
    <t>2.02.02</t>
  </si>
  <si>
    <t>PMT Balita</t>
  </si>
  <si>
    <t>5.2.7.</t>
  </si>
  <si>
    <t>Belanja Barang dan Jasa yang diserahkan kepada Masyasyarakat</t>
  </si>
  <si>
    <t>5.2.7.99.</t>
  </si>
  <si>
    <t>Belanja Barang dan Jasa untuk masyarakat lainnya</t>
  </si>
  <si>
    <t>07</t>
  </si>
  <si>
    <t>Pandan Barat I (50 x 12 Bulan)</t>
  </si>
  <si>
    <t>Pandan Barat II (50 x 12 Bulan)</t>
  </si>
  <si>
    <t>Pandan Timur II (50 x 12 Bulan)</t>
  </si>
  <si>
    <t>Pandan Timur I (50 x 12 Bulan)</t>
  </si>
  <si>
    <t>Pandan Selatan (50 x 12 Bulan)</t>
  </si>
  <si>
    <t>LPK (50 x 12 Bulan)</t>
  </si>
  <si>
    <t>POMURI (50 x 12 Bulan)</t>
  </si>
  <si>
    <t>PMT Lansia</t>
  </si>
  <si>
    <t>Sigromilir (50 x 12 Bulan)</t>
  </si>
  <si>
    <t xml:space="preserve">Pomuri </t>
  </si>
  <si>
    <t>PELAKSANAAN PEMBANGUNAN DESA</t>
  </si>
  <si>
    <t>Pasir Pasang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</si>
  <si>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</si>
  <si>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</si>
  <si>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</si>
  <si>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</si>
  <si>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</si>
  <si>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</si>
  <si>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</si>
  <si>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</si>
  <si>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</si>
  <si>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</si>
  <si>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</si>
  <si>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</si>
  <si>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</si>
  <si>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</si>
  <si>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</si>
  <si>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</si>
  <si>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</si>
  <si>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</si>
  <si>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</si>
  <si>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</si>
  <si>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</si>
  <si>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</si>
  <si>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</si>
  <si>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</si>
  <si>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</si>
  <si>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</si>
  <si>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</si>
  <si>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</si>
  <si>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m3</t>
  </si>
  <si>
    <t>zak</t>
  </si>
  <si>
    <t>m2</t>
  </si>
  <si>
    <t>Kg</t>
  </si>
  <si>
    <t>Unit</t>
  </si>
  <si>
    <t>m'</t>
  </si>
  <si>
    <t>bh</t>
  </si>
  <si>
    <t>Bh</t>
  </si>
  <si>
    <t>OH</t>
  </si>
  <si>
    <t>Prasasti</t>
  </si>
  <si>
    <t>PEMBINAAN KEMASYARAKATAN DESA</t>
  </si>
  <si>
    <t>Pembinaan Kelembagaan LPMD</t>
  </si>
  <si>
    <t>Bantuan Operasional LPMD</t>
  </si>
  <si>
    <t>3.04.02</t>
  </si>
  <si>
    <t>5.2.1</t>
  </si>
  <si>
    <t>Belanja Barang dan Perlengkapan Lainnya</t>
  </si>
  <si>
    <t>Pembinaan Kelembagaan Kelompok Informasi Masyarakat (KIM)</t>
  </si>
  <si>
    <t>Bantuan Operasional KIM</t>
  </si>
  <si>
    <t>Pembinaan Kelembagaan Masyarakat Desa</t>
  </si>
  <si>
    <t>Pembinaan Kelembagaan PB. PANDANLANDUNG</t>
  </si>
  <si>
    <t>Bantuan Operasional Persatuan Bulutangkis Pandanlandung</t>
  </si>
  <si>
    <t>Pembinaan Kelembagaan Kesenian Desa</t>
  </si>
  <si>
    <t>Perawatan Peralatan Kesenian (Karawitan)</t>
  </si>
  <si>
    <t>Dasar Hukum: Permendesa PDTT Nomor 7 Tahun 2023 tentang Prioritas Penggunaan Dana Desa, dalam Lampiran Permendesa, BAB II A, angka 2 huruf f</t>
  </si>
  <si>
    <t>Dasar Hukum: Permendesa PDTT Nomor 7 Tahun 2023 tentang Prioritas Penggunaan Dana Desa, dalam Lampiran Permendesa, BAB II B, angka 1 huruf d</t>
  </si>
  <si>
    <t>Dasar Hukum: Permendesa PDTT Nomor 7 Tahun 2023 tentang Prioritas Penggunaan Dana Desa, kegiatan Informasi dan Komunikasi, dalam setiap sub bidang terakomodir seluruh kegiatan yang berhubungan dengan penyampaian informasi kepada masyarakat desa</t>
  </si>
  <si>
    <t>Bantuan Operasional Forum Anak Desa (FAD)</t>
  </si>
  <si>
    <t>Pembinaan Lembaga PKK Desa</t>
  </si>
  <si>
    <t>3.04.03</t>
  </si>
  <si>
    <t>Pembinaan PKK</t>
  </si>
  <si>
    <t>PEMBERDAYAAN MASYARAKAT DESA</t>
  </si>
  <si>
    <t>Dasar Hukum: Peraturan Bupati Malang Nomor 202 Tahun 2022 tentang Pendapatan Kades, Perangkat Desa, Tunjangan BPD, dan Insentif Ketua RT dan Ketua RW (Pasal 11)</t>
  </si>
  <si>
    <t>Dasar Hukum: Peraturan Bupati Malang Nomor 202 Tahun 2022 tentang Pendapatan Kades, Perangkat Desa, Tunjangan BPD, dan Insentif Ketua RT dan Ketua RW (Pasal 12)</t>
  </si>
  <si>
    <t>Dasar Hukum: Peraturan Bupati Malang Nomor 202 Tahun 2022 tentang Pendapatan Kades, Perangkat Desa, Tunjangan BPD, dan Insentif Ketua RT dan Ketua RW (Pasal 11, ayat (8))</t>
  </si>
  <si>
    <t>Dasar Hukum: Peraturan Bupati Malang Nomor 202 Tahun 2022 tentang Pendapatan Kades, Perangkat Desa, Tunjangan BPD, dan Insentif Ketua RT dan Ketua RW (Pasal 4 dan 5)</t>
  </si>
  <si>
    <t>Dasar Hukum: Permendesa PDTT Nomor 7 Tahun 2023 tentang Prioritas Penggunaan Dana Desa, dalam Pasal 6 huruf b</t>
  </si>
  <si>
    <t>Dasar Hukum: Permendesa PDTT Nomor 13 Tahun 2023 tentang Petunjuk Operasional Penggunaan Dana Desa 2024, dalam Lampirannya, disebutkan dalam BAB II Huruf C angka 4, poin f dan Permendesa PDTT Nomor 7 Tahun 2023 BAB II Huruf A angka 2, poin f.</t>
  </si>
  <si>
    <t>Prioritas Nasional Dalam Pencegahan dan Penurunan Stunting</t>
  </si>
  <si>
    <t>PENANGGULANGAN BENCANA, DARURAT DAN MENDESAK DESA</t>
  </si>
  <si>
    <t>Bantuan Langsung Tunai Dana Desa</t>
  </si>
  <si>
    <t>05.03.00.</t>
  </si>
  <si>
    <t>BLT Dana Desa</t>
  </si>
  <si>
    <t>5.4.1</t>
  </si>
  <si>
    <t>Belanja Tak Terduga</t>
  </si>
  <si>
    <t>5.4.1.01.</t>
  </si>
  <si>
    <t>Bantuan Langsung Tunai Dana Desa (40 Org x 12 Bln)</t>
  </si>
  <si>
    <t>Belanja Pakaian Dinas/Seragam/Atribut</t>
  </si>
  <si>
    <t>5.2.2.06</t>
  </si>
  <si>
    <t>Petugas Kebersihan Desa</t>
  </si>
  <si>
    <t>Listrik Kantor Desa</t>
  </si>
  <si>
    <t>Wifi Kantor Desa</t>
  </si>
  <si>
    <t>ANGGARAN PENDAPATAN DAN BELANJA DESA (APBDESA)</t>
  </si>
  <si>
    <t>5.</t>
  </si>
  <si>
    <t>BIDANG PENYELENGGARAAN PEMERINTAHAN DESA</t>
  </si>
  <si>
    <t>BIDANG PEMBERDAYAAN MASYARAKAT DESA</t>
  </si>
  <si>
    <t>BIDANG PENANGGULANGAN BENCANA, DARURAT DAN MENDESAK DESA</t>
  </si>
  <si>
    <t>Penyediaan Operasional Pemerintah Desa (ATK, Honor PKPKD, PPKD, dll)</t>
  </si>
  <si>
    <t>Penyediaan Operasional Pemerintah Desa</t>
  </si>
  <si>
    <t>5</t>
  </si>
  <si>
    <t>6</t>
  </si>
  <si>
    <t>7</t>
  </si>
  <si>
    <t>8</t>
  </si>
  <si>
    <t>9</t>
  </si>
  <si>
    <t>Pengembangan Sistem Informasi Desa (SDGs)</t>
  </si>
  <si>
    <t>Pembinaan Kelembagaan Forum Anak Desa</t>
  </si>
  <si>
    <t>Pembinaan Kelembagaan PKK Desa</t>
  </si>
  <si>
    <t>JUMLAH BELANJA</t>
  </si>
  <si>
    <t>SURPLUS/(DEFISIT)</t>
  </si>
  <si>
    <t>FORM KONTROL ANGGARAN PER SUMBER DANA</t>
  </si>
  <si>
    <t>Dasar Hukum: Peraturan Bupati Malang Nomor 130 tentang Standar Biaya Umum Desa Tahun 2024, dalam Lampiran angka 2, Huruf B, C, D</t>
  </si>
  <si>
    <t>Dasar Hukum: Peraturan Bupati Malang Nomor 130 tentang Standar Biaya Umum Desa Tahun 2024, dalam Lampiran angka 1, Huruf A</t>
  </si>
  <si>
    <t>Dasar Hukum: Permendesa PDTT Nomor 7 Tahun 2023 tentang Prioritas Penggunaan Dana Desa, BAB II, angka 2, huruf e</t>
  </si>
  <si>
    <t>Memfasilitasi rembug di Desa seperti: Musyawarah Panitia Bersih Desa, HUT RI, Rapat LKD, Penggalian aspirasi sebagai bahan penyusunan regulasi desa.</t>
  </si>
  <si>
    <t>Dasar Hukum: Peraturan Bupati Malang Nomor 130 tentang Standar Biaya Umum Desa Tahun 2024, dalam Lampiran angka 6</t>
  </si>
  <si>
    <t>Besaran upah penyampaian, 2.000 per lembar, dan Penagihan 3.000 per lembar</t>
  </si>
  <si>
    <r>
      <rPr>
        <b/>
        <i/>
        <sz val="10"/>
        <rFont val="Arial"/>
        <family val="2"/>
      </rPr>
      <t>Data Eksisting Tahun Berjalan</t>
    </r>
  </si>
  <si>
    <r>
      <rPr>
        <b/>
        <i/>
        <sz val="10"/>
        <rFont val="Arial"/>
        <family val="2"/>
      </rPr>
      <t>Target Capaian Tahun 2023</t>
    </r>
  </si>
  <si>
    <r>
      <rPr>
        <b/>
        <i/>
        <sz val="10"/>
        <rFont val="Arial"/>
        <family val="2"/>
      </rPr>
      <t>Volume dan Satuan</t>
    </r>
  </si>
  <si>
    <r>
      <rPr>
        <b/>
        <i/>
        <sz val="10"/>
        <rFont val="Arial"/>
        <family val="2"/>
      </rPr>
      <t>Penerima Manfaat</t>
    </r>
  </si>
  <si>
    <r>
      <rPr>
        <b/>
        <i/>
        <sz val="10"/>
        <rFont val="Arial"/>
        <family val="2"/>
      </rPr>
      <t>Waktu Pelaksanaan</t>
    </r>
  </si>
  <si>
    <r>
      <rPr>
        <b/>
        <i/>
        <sz val="10"/>
        <rFont val="Arial"/>
        <family val="2"/>
      </rPr>
      <t>Biaya dan Sumber Pembiayaan</t>
    </r>
  </si>
  <si>
    <r>
      <rPr>
        <b/>
        <i/>
        <sz val="10"/>
        <rFont val="Arial"/>
        <family val="2"/>
      </rPr>
      <t>Pola Pelaksanaan (swakelola/ Kerjasama Antar Desa/ Kerjasama pihak Ketiga)</t>
    </r>
  </si>
  <si>
    <r>
      <rPr>
        <b/>
        <i/>
        <sz val="10"/>
        <rFont val="Arial"/>
        <family val="2"/>
      </rPr>
      <t>Jumlah (Rp)</t>
    </r>
  </si>
  <si>
    <r>
      <rPr>
        <b/>
        <i/>
        <sz val="10"/>
        <rFont val="Arial"/>
        <family val="2"/>
      </rPr>
      <t>Sumber Biaya</t>
    </r>
  </si>
  <si>
    <t>a</t>
  </si>
  <si>
    <t>b</t>
  </si>
  <si>
    <r>
      <rPr>
        <i/>
        <sz val="10"/>
        <rFont val="Arial"/>
        <family val="2"/>
      </rPr>
      <t>Penyediaan Penghasilan Tetap dan Tunjangan Kepala Desa</t>
    </r>
  </si>
  <si>
    <r>
      <rPr>
        <i/>
        <sz val="10"/>
        <rFont val="Arial"/>
        <family val="2"/>
      </rPr>
      <t>1 Org belum memenuhi pagu maksimal</t>
    </r>
  </si>
  <si>
    <r>
      <rPr>
        <i/>
        <sz val="10"/>
        <rFont val="Arial"/>
        <family val="2"/>
      </rPr>
      <t>1 org terpenuhi pagu</t>
    </r>
  </si>
  <si>
    <r>
      <rPr>
        <i/>
        <sz val="10"/>
        <rFont val="Arial"/>
        <family val="2"/>
      </rPr>
      <t>Penyediaan Penghasilan Tetap dan Tunjangan Perangkat Desa</t>
    </r>
  </si>
  <si>
    <t>13 Org belum memenuhi pagu maksimal</t>
  </si>
  <si>
    <r>
      <rPr>
        <i/>
        <sz val="10"/>
        <rFont val="Arial"/>
        <family val="2"/>
      </rPr>
      <t>13 org terpenuhi pagu</t>
    </r>
  </si>
  <si>
    <r>
      <rPr>
        <i/>
        <sz val="10"/>
        <rFont val="Arial"/>
        <family val="2"/>
      </rPr>
      <t>Penyediaan Operasional Pemerintah Desa (ATK, Honor PKPKD dan PPKD dll)</t>
    </r>
  </si>
  <si>
    <r>
      <rPr>
        <i/>
        <sz val="10"/>
        <rFont val="Arial"/>
        <family val="2"/>
      </rPr>
      <t>Terpenuhi kebutuhan reguler</t>
    </r>
  </si>
  <si>
    <r>
      <rPr>
        <i/>
        <sz val="10"/>
        <rFont val="Arial"/>
        <family val="2"/>
      </rPr>
      <t>9 Org Terpenuhinya kesejahteraannya</t>
    </r>
  </si>
  <si>
    <r>
      <rPr>
        <i/>
        <sz val="10"/>
        <rFont val="Arial"/>
        <family val="2"/>
      </rPr>
      <t>Penyediaan Operasional BPD (rapat, ATK, Makan Minum, Pakaian Seragam, Listrik dll)</t>
    </r>
  </si>
  <si>
    <r>
      <rPr>
        <i/>
        <sz val="10"/>
        <rFont val="Arial"/>
        <family val="2"/>
      </rPr>
      <t>Terpenuhinya Operasional BPD</t>
    </r>
  </si>
  <si>
    <r>
      <rPr>
        <i/>
        <sz val="10"/>
        <rFont val="Arial"/>
        <family val="2"/>
      </rPr>
      <t>Penyediaan Operasional Pemerintah Desa yang bersumber dari Dana Desa</t>
    </r>
  </si>
  <si>
    <r>
      <rPr>
        <i/>
        <sz val="10"/>
        <rFont val="Arial"/>
        <family val="2"/>
      </rPr>
      <t>1 Org Terpenuhinya pagu maskimal</t>
    </r>
  </si>
  <si>
    <r>
      <rPr>
        <i/>
        <sz val="10"/>
        <rFont val="Arial"/>
        <family val="2"/>
      </rPr>
      <t>Terpenuhinya kebutuhan Sarpras Kantor Desa</t>
    </r>
  </si>
  <si>
    <r>
      <rPr>
        <i/>
        <sz val="10"/>
        <rFont val="Arial"/>
        <family val="2"/>
      </rPr>
      <t>Kantor Desa</t>
    </r>
  </si>
  <si>
    <r>
      <rPr>
        <i/>
        <sz val="10"/>
        <rFont val="Arial"/>
        <family val="2"/>
      </rPr>
      <t>semua warga</t>
    </r>
  </si>
  <si>
    <t>BIDANG PEMBERDAYAAN MASYARAKAT</t>
  </si>
  <si>
    <t>PENANGGULANGAN BENCANA, KEADAAN MENDESAK DAN DARURAT LAINNYA</t>
  </si>
  <si>
    <t>Thn</t>
  </si>
  <si>
    <t xml:space="preserve">Pembinaan Kelembagaan Paguyuban Sepak Bola </t>
  </si>
  <si>
    <t>Topi Dinas</t>
  </si>
  <si>
    <t>Atribut Lainnya</t>
  </si>
  <si>
    <t>Jaket Dinas</t>
  </si>
  <si>
    <t>PBH, DLL</t>
  </si>
  <si>
    <t>Check Sum:</t>
  </si>
  <si>
    <t>Tunjangan Perangkat Desa</t>
  </si>
  <si>
    <t>6.1.</t>
  </si>
  <si>
    <t>Penerimaan Pembiayaan</t>
  </si>
  <si>
    <t>6.1.1.</t>
  </si>
  <si>
    <t>RINCIAN PENERIMAAN PEMBIAYAAN DESA</t>
  </si>
  <si>
    <t>PEMBIYAAN</t>
  </si>
  <si>
    <t>Silpa Tahun Sebelumnya</t>
  </si>
  <si>
    <t>Silpa Alokasi Dana Desa</t>
  </si>
  <si>
    <t>Silpa Dana Desa</t>
  </si>
  <si>
    <t>Silpa Pajak Bagi Hasil dan Retribusi Daerah</t>
  </si>
  <si>
    <t>Silpa Pendapatan lain-lain</t>
  </si>
  <si>
    <t>Sekretaris Desa Pandanlandung</t>
  </si>
  <si>
    <t>ACHMAD BAGUS SADEWA</t>
  </si>
  <si>
    <t>RINCIAN PENGELUARAN PEMBIAYAAN DESA</t>
  </si>
  <si>
    <t>Kegiatan prioritas lokal berskala desa</t>
  </si>
  <si>
    <t>5.01.</t>
  </si>
  <si>
    <t>5.02.</t>
  </si>
  <si>
    <t>5.03.</t>
  </si>
  <si>
    <t>5.04.</t>
  </si>
  <si>
    <t>5.05.</t>
  </si>
  <si>
    <t>Catatan: Perlu penetapan kriteria penerima, dan crosscheck data karena dimungkinkan dobel anggaran</t>
  </si>
  <si>
    <t>RANCANGAN RENCANA KERJA PEMERINTAH DESA (RKPDESA)</t>
  </si>
  <si>
    <t>RT 12</t>
  </si>
  <si>
    <t>24 Lembaga</t>
  </si>
  <si>
    <t>Pembinaan PB PANDAN</t>
  </si>
  <si>
    <t>Peningkatan Kapasitas Linmas</t>
  </si>
  <si>
    <t>38 OB</t>
  </si>
  <si>
    <t>38 Org</t>
  </si>
  <si>
    <t>38 Org Terpenuhinya insentif RT</t>
  </si>
  <si>
    <t>38 Org Terpenuhinya Kesejateraan RT</t>
  </si>
  <si>
    <t>Penghasilan Tetap Kepala Desa</t>
  </si>
  <si>
    <t xml:space="preserve">Sekretaris </t>
  </si>
  <si>
    <t>Sewa Sound System</t>
  </si>
  <si>
    <t>Dekorasi</t>
  </si>
  <si>
    <t>Publikasi</t>
  </si>
  <si>
    <t>Lighting</t>
  </si>
  <si>
    <t>Org</t>
  </si>
  <si>
    <t>Konsumsi Pembentukan Panitia</t>
  </si>
  <si>
    <t>Sewa Terop Riging</t>
  </si>
  <si>
    <t>Panggung 4x10</t>
  </si>
  <si>
    <t>Sewa Peralatan Makan</t>
  </si>
  <si>
    <t>Konsumsi Rakor Panitia 2x</t>
  </si>
  <si>
    <t>Sewa Kursi VIP</t>
  </si>
  <si>
    <t>Sewa Kursi VVIP</t>
  </si>
  <si>
    <t>Insentif Ketua RW (7 Org x 12 Bulan)</t>
  </si>
  <si>
    <t>Insentif Ketua RT (38 Org x 12 Bulan)</t>
  </si>
  <si>
    <t>Kertas HVS A4</t>
  </si>
  <si>
    <t>Kertas HVS F4</t>
  </si>
  <si>
    <t>Tinta Printer</t>
  </si>
  <si>
    <t>Map L</t>
  </si>
  <si>
    <t>Map Kancing</t>
  </si>
  <si>
    <t>Bulpoint</t>
  </si>
  <si>
    <t>Spidol</t>
  </si>
  <si>
    <t>Tinta Stampel</t>
  </si>
  <si>
    <t>Bak Stampel</t>
  </si>
  <si>
    <t>Stapler</t>
  </si>
  <si>
    <t>Isi Stapler</t>
  </si>
  <si>
    <t>Tipe-x</t>
  </si>
  <si>
    <t>Trigonal Clip</t>
  </si>
  <si>
    <t>Binder Clip</t>
  </si>
  <si>
    <t>Stabilo</t>
  </si>
  <si>
    <t>Gunting</t>
  </si>
  <si>
    <t>Cutter</t>
  </si>
  <si>
    <t>Isi Cutter</t>
  </si>
  <si>
    <t>Amplop Besar</t>
  </si>
  <si>
    <t>Amplop Sedang</t>
  </si>
  <si>
    <t>Amplop Coklat</t>
  </si>
  <si>
    <t>Pensil</t>
  </si>
  <si>
    <t>Note Book</t>
  </si>
  <si>
    <t>Lakban</t>
  </si>
  <si>
    <t>Double Tape</t>
  </si>
  <si>
    <t>Pemotong Kertas</t>
  </si>
  <si>
    <t>Paku Mading</t>
  </si>
  <si>
    <t>Buku Agenda</t>
  </si>
  <si>
    <t>Map Kertas</t>
  </si>
  <si>
    <t>Penghapus Pensil</t>
  </si>
  <si>
    <t>Penghapus Papan Tulis</t>
  </si>
  <si>
    <t>Odner</t>
  </si>
  <si>
    <t>Rim</t>
  </si>
  <si>
    <t>Pak</t>
  </si>
  <si>
    <t>Box</t>
  </si>
  <si>
    <t>Doos</t>
  </si>
  <si>
    <t xml:space="preserve">Isolasi </t>
  </si>
  <si>
    <t>Pencacah Kertas (Shredder)</t>
  </si>
  <si>
    <t>Meja Dada</t>
  </si>
  <si>
    <t>Sapu Atap</t>
  </si>
  <si>
    <t>Pel Lantai</t>
  </si>
  <si>
    <t>Pengki</t>
  </si>
  <si>
    <t>Sapu Lidi</t>
  </si>
  <si>
    <t>Piring</t>
  </si>
  <si>
    <t>Sendok</t>
  </si>
  <si>
    <t>SISA ANGGARAN BELUM TERALOKASI</t>
  </si>
  <si>
    <t>Pilox</t>
  </si>
  <si>
    <t>Meteran</t>
  </si>
  <si>
    <t>Pandan Barat 1 (50 x 12 Bulan)</t>
  </si>
  <si>
    <t>Pandan Barat 2 (50 x 12 Bulan)</t>
  </si>
  <si>
    <t>Pandan Timur 1 (50 x 12 Bulan)</t>
  </si>
  <si>
    <t>Pandan Timur 2 (50 x 12 Bulan)</t>
  </si>
  <si>
    <t>Pengadaan Bola Sepak</t>
  </si>
  <si>
    <t>Sewa Gedung Badminton</t>
  </si>
  <si>
    <t>Shuttlecock</t>
  </si>
  <si>
    <t>Slop</t>
  </si>
  <si>
    <t>Kl</t>
  </si>
  <si>
    <t>Kamera Video</t>
  </si>
  <si>
    <t>Bunga Bank</t>
  </si>
  <si>
    <t>Belanja Pakaian Dinas</t>
  </si>
  <si>
    <t>Tunjangan Kepala Desa</t>
  </si>
  <si>
    <t>SILPA ADD</t>
  </si>
  <si>
    <t>JUMLAH ANGGARAN DIKELOLA</t>
  </si>
  <si>
    <t>6.</t>
  </si>
  <si>
    <t>PENERIMAAN PEMBIAYAAN</t>
  </si>
  <si>
    <t>6.1</t>
  </si>
  <si>
    <t>RENCANA ANGGARAN BIAYA</t>
  </si>
  <si>
    <t>Propinsi</t>
  </si>
  <si>
    <t>Kabupaten</t>
  </si>
  <si>
    <t>Program</t>
  </si>
  <si>
    <t>Kecamatan</t>
  </si>
  <si>
    <t xml:space="preserve">Ukuran / Dimensi </t>
  </si>
  <si>
    <t>Uraian</t>
  </si>
  <si>
    <t>Volume</t>
  </si>
  <si>
    <t>Satuan</t>
  </si>
  <si>
    <t>Harga Satuan         (Rp )</t>
  </si>
  <si>
    <t>Jumlah                                          ( Rp )</t>
  </si>
  <si>
    <t>BAHAN</t>
  </si>
  <si>
    <t>A</t>
  </si>
  <si>
    <t>Bahan Konstruksi (Belanja Modal)</t>
  </si>
  <si>
    <t>M3</t>
  </si>
  <si>
    <t>Batu Pecah 2/3</t>
  </si>
  <si>
    <t>Semen 40 kg</t>
  </si>
  <si>
    <t>Zak</t>
  </si>
  <si>
    <t>Besi D 8 mm SNI</t>
  </si>
  <si>
    <t>Btg</t>
  </si>
  <si>
    <t>Besi D 10 mm SNI</t>
  </si>
  <si>
    <t>Papan Triplek 9mm</t>
  </si>
  <si>
    <t>Kawat bendrat</t>
  </si>
  <si>
    <t>Paku usuk</t>
  </si>
  <si>
    <t>Usuk 4/6</t>
  </si>
  <si>
    <t>Sub Total 1 )</t>
  </si>
  <si>
    <t>PERALATAN</t>
  </si>
  <si>
    <t>Beli Alat Kerja (Belanja Barang)</t>
  </si>
  <si>
    <t xml:space="preserve"> Ember</t>
  </si>
  <si>
    <t xml:space="preserve"> Slang timbangan</t>
  </si>
  <si>
    <t xml:space="preserve"> Kereta Dorong</t>
  </si>
  <si>
    <t>Benang</t>
  </si>
  <si>
    <t>Sub Total 2)</t>
  </si>
  <si>
    <r>
      <t xml:space="preserve">UPAH </t>
    </r>
    <r>
      <rPr>
        <b/>
        <i/>
        <sz val="11"/>
        <rFont val="Arial"/>
        <family val="2"/>
      </rPr>
      <t>(Belanja Gaji)</t>
    </r>
  </si>
  <si>
    <t>Pekerja</t>
  </si>
  <si>
    <t>HOK</t>
  </si>
  <si>
    <t>Tukang</t>
  </si>
  <si>
    <t>Sub Total 3)</t>
  </si>
  <si>
    <t>B</t>
  </si>
  <si>
    <t xml:space="preserve">Sewa Alat </t>
  </si>
  <si>
    <t>hr</t>
  </si>
  <si>
    <t>Sewa Molen</t>
  </si>
  <si>
    <t>PROSENTASE PADAT KARYA TUNAI</t>
  </si>
  <si>
    <t>C</t>
  </si>
  <si>
    <t>Honor PJT</t>
  </si>
  <si>
    <t>PJT</t>
  </si>
  <si>
    <t>bln</t>
  </si>
  <si>
    <t>Sub Total 4)</t>
  </si>
  <si>
    <t>TOTAL BIAYA</t>
  </si>
  <si>
    <t>Mengetahui,</t>
  </si>
  <si>
    <t>Dibuat oleh,</t>
  </si>
  <si>
    <t>Tim Penyusun RKP</t>
  </si>
  <si>
    <t>Checksum</t>
  </si>
  <si>
    <t>DD</t>
  </si>
  <si>
    <t>Program Pembangunan dan Pemberdayaan Masyarakat Desa</t>
  </si>
  <si>
    <t>Form 7.e.</t>
  </si>
  <si>
    <t xml:space="preserve">RENCANA ANGGARAN BIAYA </t>
  </si>
  <si>
    <t>Lokasi :</t>
  </si>
  <si>
    <t>Jenis Kegiatan  :</t>
  </si>
  <si>
    <t>Paving Jalan</t>
  </si>
  <si>
    <t>Ukuran / Dimensi  :</t>
  </si>
  <si>
    <t>M'</t>
  </si>
  <si>
    <t>Harga Satuan (Rp)</t>
  </si>
  <si>
    <t>Jumlah Swadaya (Rp)</t>
  </si>
  <si>
    <t>Jumlah Total Dana Desa (Rp)</t>
  </si>
  <si>
    <t>Jumlah Total Dana Desa + Swadaya (Rp)</t>
  </si>
  <si>
    <t>Total</t>
  </si>
  <si>
    <t>Swadaya</t>
  </si>
  <si>
    <t>c</t>
  </si>
  <si>
    <t>e = b x d</t>
  </si>
  <si>
    <t>1.</t>
  </si>
  <si>
    <t>Semen PC 40 kg</t>
  </si>
  <si>
    <t>Papan Kegiatan</t>
  </si>
  <si>
    <t>lembar</t>
  </si>
  <si>
    <t>Sub Total 1)</t>
  </si>
  <si>
    <t>2.</t>
  </si>
  <si>
    <t>ALAT</t>
  </si>
  <si>
    <t xml:space="preserve"> Benang</t>
  </si>
  <si>
    <t>3.</t>
  </si>
  <si>
    <t>UPAH</t>
  </si>
  <si>
    <t>3.1</t>
  </si>
  <si>
    <t>3.2</t>
  </si>
  <si>
    <t>4.3</t>
  </si>
  <si>
    <t>Honor TPK</t>
  </si>
  <si>
    <t>Ketua PJT</t>
  </si>
  <si>
    <t>Prosentase PKT</t>
  </si>
  <si>
    <t>%</t>
  </si>
  <si>
    <t>Catatan  :</t>
  </si>
  <si>
    <t>Sumbangan lahan tidak dimasukkan RAB tetapidilaporkan dengan form. 6a, 6b dan 6c</t>
  </si>
  <si>
    <t xml:space="preserve">Sumbangan dalam bentuk bahan, bahan, upah dan alat, ditulis dalam kolom volume dari Swadaya  </t>
  </si>
  <si>
    <t>Operasional TPK dilaporkan dalam form Rekapitulasi</t>
  </si>
  <si>
    <t>Kategori Biaya :</t>
  </si>
  <si>
    <t>I.a.</t>
  </si>
  <si>
    <t>Pembelian bahan hasil tenaga manusia</t>
  </si>
  <si>
    <t>I.b.</t>
  </si>
  <si>
    <t>Pembelian bahan hasil industri</t>
  </si>
  <si>
    <t>II.a.</t>
  </si>
  <si>
    <t>Pembelian alat tangan</t>
  </si>
  <si>
    <t>II.b.</t>
  </si>
  <si>
    <t>Pembelian/penyewaan alat mesin</t>
  </si>
  <si>
    <t>III.a.</t>
  </si>
  <si>
    <t>Pembayaran tenaga kerja untuk kontrksi</t>
  </si>
  <si>
    <t>III.b.</t>
  </si>
  <si>
    <t>Pembayaran tenaga kerja untuk pengumpulan bahan</t>
  </si>
  <si>
    <t>Mengetahui</t>
  </si>
  <si>
    <t>Dibuat Oleh,</t>
  </si>
  <si>
    <t>Kepada Desa Pandanlandung</t>
  </si>
  <si>
    <t>Tim Penyusun RKP Desa</t>
  </si>
  <si>
    <t>No. RAB</t>
  </si>
  <si>
    <t>Speer</t>
  </si>
  <si>
    <t>Harga + Sperr</t>
  </si>
  <si>
    <t>PPN</t>
  </si>
  <si>
    <t>PPH 22</t>
  </si>
  <si>
    <t>Harga + Pajak</t>
  </si>
  <si>
    <t>Harga Pembulatan</t>
  </si>
  <si>
    <t>Batu Pecah 0,5</t>
  </si>
  <si>
    <t>Aspalt</t>
  </si>
  <si>
    <t>Drum</t>
  </si>
  <si>
    <t>Minyak Bakar</t>
  </si>
  <si>
    <t>ltr</t>
  </si>
  <si>
    <t>Pasir Sawur</t>
  </si>
  <si>
    <t>Kayu Bakar</t>
  </si>
  <si>
    <t>ton</t>
  </si>
  <si>
    <t>Papan Nama Kegiatan</t>
  </si>
  <si>
    <t>Sewa Alat</t>
  </si>
  <si>
    <t>Sewa Wales</t>
  </si>
  <si>
    <t>kali</t>
  </si>
  <si>
    <t>Mobilisasi 5 Unit(Wales,Asphalt Spreyer,Compresor,Asphalt Piniser,Tandem Roller )</t>
  </si>
  <si>
    <t>oh</t>
  </si>
  <si>
    <t>Pekerja Pengaspalan</t>
  </si>
  <si>
    <t xml:space="preserve"> Sekop Pasir</t>
  </si>
  <si>
    <t>Kepala Desa Sitirejo</t>
  </si>
  <si>
    <t>Pembangunan Jalan Paving RT 033 RW 007</t>
  </si>
  <si>
    <t>SILPA DD</t>
  </si>
  <si>
    <t>SILPA DDS</t>
  </si>
  <si>
    <t>rinci</t>
  </si>
  <si>
    <t>Porsi</t>
  </si>
  <si>
    <t>Konsumsi (Kotak/Prasmanan/Minum)</t>
  </si>
  <si>
    <t>Belanja Operasional</t>
  </si>
  <si>
    <t>BPJS Ketenaga kerjaan</t>
  </si>
  <si>
    <t>Pembayaran Iuran BPJS Ketenaga Kerjaan</t>
  </si>
  <si>
    <t>Jaminan Kematian</t>
  </si>
  <si>
    <t>Jaminan Kecelakaan Kerja</t>
  </si>
  <si>
    <t>Belanja ATK</t>
  </si>
  <si>
    <t>Buku Gambar</t>
  </si>
  <si>
    <t>Buku Tulis</t>
  </si>
  <si>
    <t>Papan Tulis</t>
  </si>
  <si>
    <t xml:space="preserve">Konsumsi Pertemuan Rutin </t>
  </si>
  <si>
    <t>Ember</t>
  </si>
  <si>
    <t>RIM</t>
  </si>
  <si>
    <t>Penyertaan Modal BUMDes</t>
  </si>
  <si>
    <t>Ls</t>
  </si>
  <si>
    <t>P2Pl</t>
  </si>
  <si>
    <t>SDD</t>
  </si>
  <si>
    <t>SAD</t>
  </si>
  <si>
    <t>CEK KESEHATAN LANSIA</t>
  </si>
  <si>
    <t>Stick Asam Urat</t>
  </si>
  <si>
    <t>Stick Kolesterol</t>
  </si>
  <si>
    <t>Jarum Lancet</t>
  </si>
  <si>
    <t>Alkohol Swab</t>
  </si>
  <si>
    <t xml:space="preserve">PMT BUMIL </t>
  </si>
  <si>
    <t>Belum RAB</t>
  </si>
  <si>
    <t xml:space="preserve">200 x 12 </t>
  </si>
  <si>
    <t>PEMBERIAN BANTUAN LANGSUNG TUNAI DANA DESA</t>
  </si>
  <si>
    <t>Belanja Barang dan Jasa</t>
  </si>
  <si>
    <t>Pembayaran Iuran BPJS Ketenaga Kerjaan Kepala Desa</t>
  </si>
  <si>
    <t>M</t>
  </si>
  <si>
    <t xml:space="preserve">Selang Air </t>
  </si>
  <si>
    <t>Pembelian Peralatan Tanggap Bencana</t>
  </si>
  <si>
    <t>Pelatihan Peningkatan Kapasitas RT &amp; RW</t>
  </si>
  <si>
    <t>Peningkatan Kapasitas RT &amp; RW</t>
  </si>
  <si>
    <t>Pelatihan RT &amp; RW</t>
  </si>
  <si>
    <t>Konsumsi Pesiapan</t>
  </si>
  <si>
    <t>Kosumsi Pelaksanaan</t>
  </si>
  <si>
    <t>Konsumsi Penutupan/ Pelaporan</t>
  </si>
  <si>
    <t>Belanja Honorarium</t>
  </si>
  <si>
    <t>Honor Peserta</t>
  </si>
  <si>
    <t>Pelaksanaan Kegiatan PKTD</t>
  </si>
  <si>
    <t>KELAS IBU HAMIL</t>
  </si>
  <si>
    <t>Tape X</t>
  </si>
  <si>
    <t>porsi</t>
  </si>
  <si>
    <t>Set</t>
  </si>
  <si>
    <t>Stampel Trodat</t>
  </si>
  <si>
    <t>Tinta Printer Hitam</t>
  </si>
  <si>
    <t>Belanja Modal</t>
  </si>
  <si>
    <t>Piring Makan</t>
  </si>
  <si>
    <t>Piring Rampatan</t>
  </si>
  <si>
    <t>Mangkok Es</t>
  </si>
  <si>
    <t>Sendok Es</t>
  </si>
  <si>
    <t>Mangkok Es Besar</t>
  </si>
  <si>
    <t>Food Warmer Kotak</t>
  </si>
  <si>
    <t>Food Warmer Bulat</t>
  </si>
  <si>
    <t>Kompor Joss</t>
  </si>
  <si>
    <t xml:space="preserve">Kompor Gas </t>
  </si>
  <si>
    <t>Dandang 5Kg</t>
  </si>
  <si>
    <t>Meja Prasmanan Panjang</t>
  </si>
  <si>
    <t>Meja Es Bulat</t>
  </si>
  <si>
    <t>Tremos Kopi</t>
  </si>
  <si>
    <t>Tremos Nasi</t>
  </si>
  <si>
    <t>Panci Besar</t>
  </si>
  <si>
    <t>Panci Sedang</t>
  </si>
  <si>
    <t>Centong Nasi</t>
  </si>
  <si>
    <t xml:space="preserve">Termos Es </t>
  </si>
  <si>
    <t>AtK</t>
  </si>
  <si>
    <t>Id Card</t>
  </si>
  <si>
    <t>Belanja Peralatan Listrik</t>
  </si>
  <si>
    <t>5.2.1.02</t>
  </si>
  <si>
    <t>5.2.1.03</t>
  </si>
  <si>
    <t>5.2.1.04</t>
  </si>
  <si>
    <t>5.2.1.05</t>
  </si>
  <si>
    <t>Belanja Perlengkapan Alat rumah Tangga</t>
  </si>
  <si>
    <t>Belanja Modal Peralatan Dapur</t>
  </si>
  <si>
    <t>Belanja Modal Peralatan Elektronik dan Alat Studio</t>
  </si>
  <si>
    <t>Belanja Modal Laptop Kantor</t>
  </si>
  <si>
    <t>Belanja Modal Peralatan Komputer</t>
  </si>
  <si>
    <t>5.3.2.03</t>
  </si>
  <si>
    <t>Belanja Mebelair Kantor</t>
  </si>
  <si>
    <t>Belanja Modal Peralatan Mebelai dan aksesoris</t>
  </si>
  <si>
    <t>5.3.2.04</t>
  </si>
  <si>
    <t>5.3.2.05</t>
  </si>
  <si>
    <t>Konsumsi Musdes Penetapan APBDesa</t>
  </si>
  <si>
    <t>Sekretaris Tim Verifikasi</t>
  </si>
  <si>
    <t>Anggota Tim Verifikasi</t>
  </si>
  <si>
    <t xml:space="preserve">Ketua Tim Penyusun </t>
  </si>
  <si>
    <t xml:space="preserve">Sekretaris Tim Penyusun </t>
  </si>
  <si>
    <t xml:space="preserve">Anggota Tim Penyusun </t>
  </si>
  <si>
    <t>Cetak Banner 2x3 m</t>
  </si>
  <si>
    <t>Belanja Sewa Peralatan Lainnya</t>
  </si>
  <si>
    <t>Belanja Sewa Perlengkapan</t>
  </si>
  <si>
    <t>Sewa Kursi Susun</t>
  </si>
  <si>
    <t>Penyelenggaan Musyawarah Perencanaan Desa APBDes (Reguler)</t>
  </si>
  <si>
    <t>Musyawarah Desa Reguler</t>
  </si>
  <si>
    <t>Belanja Jasa Perpanjangan Ijin/Pajak</t>
  </si>
  <si>
    <t>Pajak Atas Bunga Bank</t>
  </si>
  <si>
    <t>Tahun</t>
  </si>
  <si>
    <t>Belanja Operasional Perkantoran lainnya</t>
  </si>
  <si>
    <t>Biaya Admin Bank</t>
  </si>
  <si>
    <t>Penyediaan Operasional Pemerintah Desa (Pajak)</t>
  </si>
  <si>
    <t>PMT TBC</t>
  </si>
  <si>
    <t>Pemberian Susu</t>
  </si>
  <si>
    <t>Belanja Insentif KPM</t>
  </si>
  <si>
    <t>Pemberian Insentif</t>
  </si>
  <si>
    <t>Insentif KPM</t>
  </si>
  <si>
    <t>Pandanlandung</t>
  </si>
  <si>
    <t xml:space="preserve">Normalisasi Sumber Air Milik Desa </t>
  </si>
  <si>
    <t>1 x</t>
  </si>
  <si>
    <t>Pembangunan Drainase RT 015 RW 003</t>
  </si>
  <si>
    <t>Pelatihan Tanggap Bencana</t>
  </si>
  <si>
    <t>Kali</t>
  </si>
  <si>
    <t>Transport Perjalanan dinas</t>
  </si>
  <si>
    <t xml:space="preserve">Konsumsi Rapat Tim PKK </t>
  </si>
  <si>
    <t xml:space="preserve">Konsumsi Rakor </t>
  </si>
  <si>
    <t>Belanja konsumsi pelatihan</t>
  </si>
  <si>
    <t>Konsumsi Pelatihan</t>
  </si>
  <si>
    <t>Uang Saku Peserta</t>
  </si>
  <si>
    <t>Belanja Honorarium lainnya</t>
  </si>
  <si>
    <t>Belanja Honorarium Tenaga Ahli/ Nara Sumber</t>
  </si>
  <si>
    <t>Cetak Banner</t>
  </si>
  <si>
    <t>Penggandaan Materi</t>
  </si>
  <si>
    <t>Bendel</t>
  </si>
  <si>
    <t>Insentif Guru Pengajar Ngaji/TPQ</t>
  </si>
  <si>
    <t xml:space="preserve">: </t>
  </si>
  <si>
    <t xml:space="preserve"> Amer 5 kg</t>
  </si>
  <si>
    <t>Pembangunan Drainase RT 002 RW 001</t>
  </si>
  <si>
    <t>Pembangunan Jalan Hotmix RT 011 RW 002</t>
  </si>
  <si>
    <t>Pembangunan Drainase/Gorong-Gorong RT 017 RW 004</t>
  </si>
  <si>
    <t>Pembangunan Gorong-Gorong dan Pavingisasi gg Sekolahan RW 005</t>
  </si>
  <si>
    <t>Pembangunan Drainase RT 026 RW 006</t>
  </si>
  <si>
    <t>Lokasi Dusun</t>
  </si>
  <si>
    <t xml:space="preserve">No. RAB </t>
  </si>
  <si>
    <t xml:space="preserve">Program </t>
  </si>
  <si>
    <t xml:space="preserve">Jenis Kegiatan </t>
  </si>
  <si>
    <t xml:space="preserve">Ukuran / Dimensi  </t>
  </si>
  <si>
    <t xml:space="preserve">Kategori </t>
  </si>
  <si>
    <t>Harga</t>
  </si>
  <si>
    <t>Jumlah</t>
  </si>
  <si>
    <t>Biaya</t>
  </si>
  <si>
    <t>Konstruksi</t>
  </si>
  <si>
    <t>Rp.</t>
  </si>
  <si>
    <t xml:space="preserve"> (Swadaya)  </t>
  </si>
  <si>
    <t xml:space="preserve"> (Dana Desa)  </t>
  </si>
  <si>
    <t>A. Bahan Konstruksi (Belanja Modal)</t>
  </si>
  <si>
    <t xml:space="preserve">Batu Belah </t>
  </si>
  <si>
    <t>I-a</t>
  </si>
  <si>
    <t>Portland Cement (PC)-40 kg</t>
  </si>
  <si>
    <t>I-b</t>
  </si>
  <si>
    <t>B. Bahan Pelengkap (Belanja Barang)</t>
  </si>
  <si>
    <t xml:space="preserve"> Papan Nama Kegiatan</t>
  </si>
  <si>
    <t xml:space="preserve"> Prasasti uk 40 x 60 cm</t>
  </si>
  <si>
    <t>A. Beli Alat Kerja (Belanja Barang /Modal)</t>
  </si>
  <si>
    <t>Roll</t>
  </si>
  <si>
    <t>II-a</t>
  </si>
  <si>
    <t>Linggis</t>
  </si>
  <si>
    <t>Buah</t>
  </si>
  <si>
    <t>Ganco</t>
  </si>
  <si>
    <t>Cangkul</t>
  </si>
  <si>
    <t>Sekop</t>
  </si>
  <si>
    <t>Amer - 5 Kg</t>
  </si>
  <si>
    <t>Cetok</t>
  </si>
  <si>
    <t>Kereta Dorong</t>
  </si>
  <si>
    <t>B. Sewa Alat (Belanja Jasa / Belanja Modal)</t>
  </si>
  <si>
    <t>Sewa Mollen</t>
  </si>
  <si>
    <t>Hari</t>
  </si>
  <si>
    <t>II-b</t>
  </si>
  <si>
    <t>Mob. dan Demob. Mollen</t>
  </si>
  <si>
    <t>III-a</t>
  </si>
  <si>
    <t>OPERASIONAL</t>
  </si>
  <si>
    <t>Honor Pelaksana  (Belanja Gaji)</t>
  </si>
  <si>
    <t>Tim Pelaksana (3org 1 bulan)</t>
  </si>
  <si>
    <t>Bulan</t>
  </si>
  <si>
    <t>III-c</t>
  </si>
  <si>
    <t>Sumber Dana</t>
  </si>
  <si>
    <t>Total Biaya (Dana Desa dan Swadaya)</t>
  </si>
  <si>
    <t>Dari Dana Desa</t>
  </si>
  <si>
    <t>Bobot (%)</t>
  </si>
  <si>
    <t>Bahan</t>
  </si>
  <si>
    <t>Peralatan</t>
  </si>
  <si>
    <t>Upah (Belanja Jasa / Modal)</t>
  </si>
  <si>
    <t>Operasional</t>
  </si>
  <si>
    <t>SANTREN</t>
  </si>
  <si>
    <t>Wagir</t>
  </si>
  <si>
    <t>Malang</t>
  </si>
  <si>
    <t>Jawa Timur</t>
  </si>
  <si>
    <t>----</t>
  </si>
  <si>
    <t>Pembanguan Drainase RW. 003 JL Gapuro</t>
  </si>
  <si>
    <t>57x1,2x1,2</t>
  </si>
  <si>
    <t>: 150 m x 3 m x 0,15 m</t>
  </si>
  <si>
    <t>RW 001</t>
  </si>
  <si>
    <t>RW 003</t>
  </si>
  <si>
    <t>KOPDES</t>
  </si>
  <si>
    <t>1Ls</t>
  </si>
  <si>
    <t>Peningkatan Perekoniman Desa (30%)</t>
  </si>
  <si>
    <t>Ketahanan Pangan 20%</t>
  </si>
  <si>
    <t>Ketapang</t>
  </si>
  <si>
    <t>Pembinaan Swadeshi</t>
  </si>
  <si>
    <t>Pembinaan Ilal Ahad</t>
  </si>
  <si>
    <t xml:space="preserve">Pembangunan Gorong-Gorong dan Pavingisasi </t>
  </si>
  <si>
    <t>Pembinaan SSB PANDAWA</t>
  </si>
  <si>
    <t>TAHUN ANGGARAN 2026</t>
  </si>
  <si>
    <t>Penyediaan Insentif/Operasional RT/RW</t>
  </si>
  <si>
    <t>Siaga Kesehatan</t>
  </si>
  <si>
    <t>Peningkatan Kapasitas Relawan</t>
  </si>
  <si>
    <t>Penyelenggaraan Kegiatan Keagamaan</t>
  </si>
  <si>
    <t>Peningkatan Ukhuwah Islamiyah</t>
  </si>
  <si>
    <t>2 Lembaga</t>
  </si>
  <si>
    <t>3 Lembaga</t>
  </si>
  <si>
    <t>Operasional RW</t>
  </si>
  <si>
    <t>Penyelenggaraan Kegiatan RW</t>
  </si>
  <si>
    <t>Penyediaan Operasional</t>
  </si>
  <si>
    <t>7 RW</t>
  </si>
  <si>
    <t>Pembangunan Jalan Rabat RT 033 RW 007</t>
  </si>
  <si>
    <t>Pembinaan Kelompok Kesenian</t>
  </si>
  <si>
    <t>Pelestarian Budaya</t>
  </si>
  <si>
    <t>Peningkatan Kualitas Penylenggaraan Kesenian dan Budaya</t>
  </si>
  <si>
    <t>7 Lembaga</t>
  </si>
  <si>
    <t>PAGU</t>
  </si>
  <si>
    <t>. Oni Wibowo</t>
  </si>
  <si>
    <t>Hendri Kustomo</t>
  </si>
  <si>
    <t>Supardi</t>
  </si>
  <si>
    <t>Tim Pengelola Kegiatan Ta 2026</t>
  </si>
  <si>
    <t>Seragam PDH</t>
  </si>
  <si>
    <t>Honor Operator Desa</t>
  </si>
  <si>
    <t>Kitchen Set</t>
  </si>
  <si>
    <t>Komputer</t>
  </si>
  <si>
    <t>Printer</t>
  </si>
  <si>
    <t>Belanja Modal Peralatan Mebelair dan aksesoris</t>
  </si>
  <si>
    <t xml:space="preserve">Video Trond </t>
  </si>
  <si>
    <t>Lampu Kantor</t>
  </si>
  <si>
    <t>Fitting Lampu</t>
  </si>
  <si>
    <t>Rak Kertas</t>
  </si>
  <si>
    <t>Sound System Gantung</t>
  </si>
  <si>
    <t>Gelas</t>
  </si>
  <si>
    <t>Meja</t>
  </si>
  <si>
    <t>Kursi</t>
  </si>
  <si>
    <t>Penyelenggaraan Pemilihan Kepala Desa</t>
  </si>
  <si>
    <t xml:space="preserve">Sarana Prasarana Pos Kesehatan Desa </t>
  </si>
  <si>
    <r>
      <t>•</t>
    </r>
    <r>
      <rPr>
        <i/>
        <sz val="10"/>
        <color rgb="FF000000"/>
        <rFont val="Roboto"/>
      </rPr>
      <t>Gorong-gorong RT 9-11 Beton Buis dm 40</t>
    </r>
  </si>
  <si>
    <r>
      <t>•</t>
    </r>
    <r>
      <rPr>
        <i/>
        <sz val="10"/>
        <color theme="1"/>
        <rFont val="Roboto"/>
      </rPr>
      <t>Paving RT.6 , RT. 8, RT.9</t>
    </r>
  </si>
  <si>
    <r>
      <t>•</t>
    </r>
    <r>
      <rPr>
        <i/>
        <sz val="10"/>
        <color theme="1"/>
        <rFont val="Roboto"/>
      </rPr>
      <t>Talang Cor (arah Sungai RT.10)</t>
    </r>
  </si>
  <si>
    <r>
      <t>•</t>
    </r>
    <r>
      <rPr>
        <i/>
        <sz val="10"/>
        <color theme="1"/>
        <rFont val="Roboto"/>
      </rPr>
      <t>Melanjutkan pekerjaan Bina marga RT 6</t>
    </r>
  </si>
  <si>
    <r>
      <t>•</t>
    </r>
    <r>
      <rPr>
        <i/>
        <sz val="10"/>
        <color theme="1"/>
        <rFont val="Roboto"/>
      </rPr>
      <t>Aspal Hotmix RT.10</t>
    </r>
  </si>
  <si>
    <r>
      <t>•</t>
    </r>
    <r>
      <rPr>
        <i/>
        <sz val="10"/>
        <color theme="1"/>
        <rFont val="Roboto"/>
      </rPr>
      <t>Gorong-Gorong RT 6 Beton Buis dm 30</t>
    </r>
  </si>
  <si>
    <r>
      <t>•</t>
    </r>
    <r>
      <rPr>
        <i/>
        <sz val="10"/>
        <color theme="1"/>
        <rFont val="Roboto"/>
      </rPr>
      <t>Mengembalikan drainase yang di tutup warga wilayah RW.1 RT.2</t>
    </r>
  </si>
  <si>
    <t>Beasiswa Pendidikan</t>
  </si>
  <si>
    <t>RT 14 Drainase 150 m (JL. Kalijogo)</t>
  </si>
  <si>
    <t>Operasional SSB</t>
  </si>
  <si>
    <t>Operasional KIM</t>
  </si>
  <si>
    <t>Operasional Kader</t>
  </si>
  <si>
    <t>Operasional Swadeshi</t>
  </si>
  <si>
    <t>Operasional LPMD</t>
  </si>
  <si>
    <t>Operasional Karang Taruna</t>
  </si>
  <si>
    <t>Operasional Ilal Ahad</t>
  </si>
  <si>
    <t>Operasional Kesenian</t>
  </si>
  <si>
    <t>Operasional Linmas</t>
  </si>
  <si>
    <r>
      <t>•</t>
    </r>
    <r>
      <rPr>
        <i/>
        <sz val="10"/>
        <color rgb="FF000000"/>
        <rFont val="Roboto"/>
      </rPr>
      <t>Legalitas tanah diwilayah RT.1 RW.1</t>
    </r>
  </si>
  <si>
    <r>
      <t>•</t>
    </r>
    <r>
      <rPr>
        <i/>
        <sz val="10"/>
        <color rgb="FF000000"/>
        <rFont val="Roboto"/>
      </rPr>
      <t>RT 3 Paving digang Pak Sunadi 125 m</t>
    </r>
  </si>
  <si>
    <r>
      <t>•</t>
    </r>
    <r>
      <rPr>
        <i/>
        <sz val="10"/>
        <color rgb="FF000000"/>
        <rFont val="Roboto"/>
      </rPr>
      <t>RT 5 Paving 112,5 m</t>
    </r>
  </si>
  <si>
    <r>
      <t>•</t>
    </r>
    <r>
      <rPr>
        <i/>
        <sz val="10"/>
        <color rgb="FF000000"/>
        <rFont val="Roboto"/>
      </rPr>
      <t>RT 24 Penyemiran Jalan/Cor 900 m dan Drainase 200 m kanan kiri</t>
    </r>
  </si>
  <si>
    <r>
      <t>•</t>
    </r>
    <r>
      <rPr>
        <i/>
        <sz val="10"/>
        <color rgb="FF000000"/>
        <rFont val="Roboto"/>
      </rPr>
      <t>Perdes untuk tugu supaya tidak dipakai untuk menancapkan paku atau tanda</t>
    </r>
  </si>
  <si>
    <r>
      <t>•</t>
    </r>
    <r>
      <rPr>
        <i/>
        <sz val="10"/>
        <color rgb="FF000000"/>
        <rFont val="Roboto"/>
      </rPr>
      <t>Operasional RT. Dan RW.</t>
    </r>
  </si>
  <si>
    <r>
      <t>•</t>
    </r>
    <r>
      <rPr>
        <i/>
        <sz val="10"/>
        <color rgb="FF000000"/>
        <rFont val="Roboto"/>
      </rPr>
      <t>Perbaikan jalan di sektor timur RT 35 (Arah Masjid Al-Firdaus)Rusak Berat</t>
    </r>
  </si>
  <si>
    <r>
      <t>•</t>
    </r>
    <r>
      <rPr>
        <i/>
        <sz val="10"/>
        <color rgb="FF000000"/>
        <rFont val="Roboto"/>
      </rPr>
      <t>Perbaikan Jalan Kembar dari batas jembatan sampai ke peerempatan jalan poros, penghubung antara perumahan ke jalan Kuso</t>
    </r>
  </si>
  <si>
    <r>
      <t>•</t>
    </r>
    <r>
      <rPr>
        <i/>
        <sz val="10"/>
        <color rgb="FF000000"/>
        <rFont val="Roboto"/>
      </rPr>
      <t>RT 32 Perbaikan Drainase dan Plengsengan pinggiran Sungai</t>
    </r>
  </si>
  <si>
    <r>
      <t>•</t>
    </r>
    <r>
      <rPr>
        <i/>
        <sz val="10"/>
        <color rgb="FF000000"/>
        <rFont val="Roboto"/>
      </rPr>
      <t>Perbaikan jalan poros dari perempatan jalan Tengah antara RT 38 dan RT 37</t>
    </r>
  </si>
  <si>
    <r>
      <t>•</t>
    </r>
    <r>
      <rPr>
        <i/>
        <sz val="10"/>
        <color rgb="FF000000"/>
        <rFont val="Roboto"/>
      </rPr>
      <t>Pembangunan drainase /Gorong –gorong ke kiri badan jalan kembar pintu masuk sampai jembatan</t>
    </r>
  </si>
  <si>
    <r>
      <t>•</t>
    </r>
    <r>
      <rPr>
        <i/>
        <sz val="10"/>
        <color rgb="FF000000"/>
        <rFont val="Roboto"/>
      </rPr>
      <t>Pemasangan portal pintu masuk dan keluar PWL di 3 Titik</t>
    </r>
  </si>
  <si>
    <r>
      <t>•</t>
    </r>
    <r>
      <rPr>
        <i/>
        <sz val="10"/>
        <color rgb="FF000000"/>
        <rFont val="Roboto"/>
      </rPr>
      <t>RT 12 Drainase 120 m</t>
    </r>
  </si>
  <si>
    <r>
      <t>•</t>
    </r>
    <r>
      <rPr>
        <i/>
        <sz val="10"/>
        <color rgb="FF000000"/>
        <rFont val="Roboto"/>
      </rPr>
      <t>RT 13 Drainase 150 m</t>
    </r>
  </si>
  <si>
    <r>
      <t>•</t>
    </r>
    <r>
      <rPr>
        <i/>
        <sz val="10"/>
        <color rgb="FF000000"/>
        <rFont val="Roboto"/>
      </rPr>
      <t>RT 16 Paving 450 m (GG Masjid Nurul Iman)</t>
    </r>
  </si>
  <si>
    <r>
      <t>•</t>
    </r>
    <r>
      <rPr>
        <i/>
        <sz val="10"/>
        <color rgb="FF000000"/>
        <rFont val="Roboto"/>
      </rPr>
      <t>RT 17 Gorong-Gorong dari Masjid Nurul Yaqin sampai Rumah Supriadi 120 m</t>
    </r>
  </si>
  <si>
    <r>
      <t>•</t>
    </r>
    <r>
      <rPr>
        <i/>
        <sz val="10"/>
        <color rgb="FF000000"/>
        <rFont val="Roboto"/>
      </rPr>
      <t>RT 18 Gorong-Gorong daerah Musholah Darussalam 75 m</t>
    </r>
  </si>
  <si>
    <r>
      <t>•</t>
    </r>
    <r>
      <rPr>
        <i/>
        <sz val="10"/>
        <color rgb="FF000000"/>
        <rFont val="Roboto"/>
      </rPr>
      <t>Balai Posyandu RW 4</t>
    </r>
  </si>
  <si>
    <r>
      <t>•</t>
    </r>
    <r>
      <rPr>
        <i/>
        <sz val="10"/>
        <color rgb="FF000000"/>
        <rFont val="Roboto"/>
      </rPr>
      <t>RT 19 Paving P. Kholik</t>
    </r>
  </si>
  <si>
    <r>
      <t>•</t>
    </r>
    <r>
      <rPr>
        <i/>
        <sz val="10"/>
        <color rgb="FF000000"/>
        <rFont val="Roboto"/>
      </rPr>
      <t>Renovasi drainase makam</t>
    </r>
  </si>
  <si>
    <r>
      <t>•</t>
    </r>
    <r>
      <rPr>
        <i/>
        <sz val="10"/>
        <color rgb="FF000000"/>
        <rFont val="Roboto"/>
      </rPr>
      <t>Drainase (Pertigaan-utara)</t>
    </r>
  </si>
  <si>
    <r>
      <t>•</t>
    </r>
    <r>
      <rPr>
        <i/>
        <sz val="10"/>
        <color rgb="FF000000"/>
        <rFont val="Roboto"/>
      </rPr>
      <t>RT. 20 Paving Gang Kopi</t>
    </r>
  </si>
  <si>
    <r>
      <t>•</t>
    </r>
    <r>
      <rPr>
        <i/>
        <sz val="10"/>
        <color rgb="FF000000"/>
        <rFont val="Roboto"/>
      </rPr>
      <t>Paving Helwanto</t>
    </r>
  </si>
  <si>
    <r>
      <t>•</t>
    </r>
    <r>
      <rPr>
        <i/>
        <sz val="10"/>
        <color rgb="FF000000"/>
        <rFont val="Roboto"/>
      </rPr>
      <t>RT. 20 s/d RT 22 Paving Sekolahan – Barat dan Gorong-gorong</t>
    </r>
  </si>
  <si>
    <r>
      <t>•</t>
    </r>
    <r>
      <rPr>
        <i/>
        <sz val="10"/>
        <color rgb="FF000000"/>
        <rFont val="Roboto"/>
      </rPr>
      <t>Paving Sekolahan – Barat dan Gorong-gorong</t>
    </r>
  </si>
  <si>
    <r>
      <t>•</t>
    </r>
    <r>
      <rPr>
        <i/>
        <sz val="10"/>
        <color rgb="FF000000"/>
        <rFont val="Roboto"/>
      </rPr>
      <t>Rabat Beton RW 5 – 7 dan Drainase</t>
    </r>
  </si>
  <si>
    <r>
      <t>•</t>
    </r>
    <r>
      <rPr>
        <i/>
        <sz val="10"/>
        <color rgb="FF000000"/>
        <rFont val="Roboto"/>
      </rPr>
      <t>RT 22 Drainase Jembatan baru</t>
    </r>
  </si>
  <si>
    <r>
      <t>•</t>
    </r>
    <r>
      <rPr>
        <i/>
        <sz val="10"/>
        <color rgb="FF000000"/>
        <rFont val="Roboto"/>
      </rPr>
      <t>RT 23 Paving (Depan Masjid G. Jati dan Gorong-gorong</t>
    </r>
  </si>
  <si>
    <r>
      <t>•</t>
    </r>
    <r>
      <rPr>
        <i/>
        <sz val="10"/>
        <color rgb="FF000000"/>
        <rFont val="Roboto"/>
      </rPr>
      <t xml:space="preserve">Rabat Beton penghubung RW 5 – PWL </t>
    </r>
  </si>
  <si>
    <r>
      <t>•</t>
    </r>
    <r>
      <rPr>
        <i/>
        <sz val="10"/>
        <color rgb="FF000000"/>
        <rFont val="Roboto"/>
      </rPr>
      <t>Legalitas Surat Tanah Fasum dan Gedung serbaguna</t>
    </r>
  </si>
  <si>
    <r>
      <t>•</t>
    </r>
    <r>
      <rPr>
        <i/>
        <sz val="10"/>
        <color rgb="FF000000"/>
        <rFont val="Roboto"/>
      </rPr>
      <t>RT 30 Sarana Olah raga</t>
    </r>
  </si>
  <si>
    <r>
      <t>•</t>
    </r>
    <r>
      <rPr>
        <i/>
        <sz val="10"/>
        <color rgb="FF000000"/>
        <rFont val="Roboto"/>
      </rPr>
      <t>Chek Dam</t>
    </r>
  </si>
  <si>
    <r>
      <t>•</t>
    </r>
    <r>
      <rPr>
        <i/>
        <sz val="10"/>
        <color rgb="FF000000"/>
        <rFont val="Roboto"/>
      </rPr>
      <t>Pagar Dusun RT.25 , RT.30, RT.31</t>
    </r>
  </si>
  <si>
    <r>
      <t>•</t>
    </r>
    <r>
      <rPr>
        <i/>
        <sz val="10"/>
        <color rgb="FF000000"/>
        <rFont val="Roboto"/>
      </rPr>
      <t>Saluran Drainase RT.26, RT.25 s/d RT.3</t>
    </r>
  </si>
  <si>
    <r>
      <t>•</t>
    </r>
    <r>
      <rPr>
        <i/>
        <sz val="10"/>
        <color rgb="FF000000"/>
        <rFont val="Roboto"/>
      </rPr>
      <t>Lapangan Sepak Bola</t>
    </r>
  </si>
  <si>
    <r>
      <t>•</t>
    </r>
    <r>
      <rPr>
        <i/>
        <sz val="10"/>
        <color rgb="FF000000"/>
        <rFont val="Roboto"/>
      </rPr>
      <t>Pengadaan Sarpras</t>
    </r>
    <r>
      <rPr>
        <i/>
        <sz val="10"/>
        <rFont val="Arial"/>
        <family val="2"/>
      </rPr>
      <t xml:space="preserve"> PKK</t>
    </r>
  </si>
  <si>
    <r>
      <t>•</t>
    </r>
    <r>
      <rPr>
        <i/>
        <sz val="10"/>
        <color rgb="FF000000"/>
        <rFont val="Roboto"/>
      </rPr>
      <t>Peralatan Pemadam Kebakaran (Mesin Diesel)</t>
    </r>
  </si>
  <si>
    <r>
      <t>•</t>
    </r>
    <r>
      <rPr>
        <i/>
        <sz val="10"/>
        <color rgb="FF000000"/>
        <rFont val="Roboto"/>
      </rPr>
      <t>Rehab Polindes</t>
    </r>
  </si>
  <si>
    <r>
      <t>•</t>
    </r>
    <r>
      <rPr>
        <i/>
        <sz val="10"/>
        <color rgb="FF000000"/>
        <rFont val="Roboto"/>
      </rPr>
      <t>Ambullance Desa</t>
    </r>
  </si>
  <si>
    <r>
      <t>•</t>
    </r>
    <r>
      <rPr>
        <i/>
        <sz val="10"/>
        <color rgb="FF000000"/>
        <rFont val="Roboto"/>
      </rPr>
      <t>Kalibrasi Antropometri</t>
    </r>
  </si>
  <si>
    <r>
      <t>•</t>
    </r>
    <r>
      <rPr>
        <i/>
        <sz val="10"/>
        <color rgb="FF000000"/>
        <rFont val="Roboto"/>
      </rPr>
      <t>Sarpras Pengajian (terpal dan Karpet)</t>
    </r>
  </si>
  <si>
    <r>
      <t>•</t>
    </r>
    <r>
      <rPr>
        <i/>
        <sz val="10"/>
        <color rgb="FF000000"/>
        <rFont val="Roboto"/>
      </rPr>
      <t>Sewa Gedung bulu tangkis</t>
    </r>
  </si>
  <si>
    <r>
      <t>•</t>
    </r>
    <r>
      <rPr>
        <i/>
        <sz val="10"/>
        <color rgb="FF000000"/>
        <rFont val="Roboto"/>
      </rPr>
      <t>Sarpras Kegiatan Rutin TPQ</t>
    </r>
  </si>
  <si>
    <r>
      <t>•</t>
    </r>
    <r>
      <rPr>
        <i/>
        <sz val="10"/>
        <color theme="1"/>
        <rFont val="Roboto"/>
      </rPr>
      <t>RT 2 pemindahan jalan drainase kembali ke asal di wilayah perbatasan RT 1 dan RW 2 Sepanjang 90 m</t>
    </r>
  </si>
  <si>
    <r>
      <t>•</t>
    </r>
    <r>
      <rPr>
        <i/>
        <sz val="10"/>
        <color rgb="FF000000"/>
        <rFont val="Roboto"/>
      </rPr>
      <t>Sosialisasi E-PKK</t>
    </r>
  </si>
  <si>
    <r>
      <t>•</t>
    </r>
    <r>
      <rPr>
        <i/>
        <sz val="10"/>
        <color rgb="FF000000"/>
        <rFont val="Roboto"/>
      </rPr>
      <t>Pengajian PKK Setiap 3 Bulan Sekali (Pokja 1)</t>
    </r>
  </si>
  <si>
    <r>
      <t>•</t>
    </r>
    <r>
      <rPr>
        <i/>
        <sz val="10"/>
        <color rgb="FF000000"/>
        <rFont val="Roboto"/>
      </rPr>
      <t>Pelatihan Pembuatan PMT</t>
    </r>
  </si>
  <si>
    <r>
      <t>•</t>
    </r>
    <r>
      <rPr>
        <i/>
        <sz val="10"/>
        <color rgb="FF000000"/>
        <rFont val="Roboto"/>
      </rPr>
      <t>Turnamen Sepak Bola Kelompok Umur</t>
    </r>
  </si>
  <si>
    <r>
      <t>•</t>
    </r>
    <r>
      <rPr>
        <i/>
        <sz val="10"/>
        <color rgb="FF000000"/>
        <rFont val="Roboto"/>
      </rPr>
      <t xml:space="preserve">Peningkatan Kapasitas </t>
    </r>
    <r>
      <rPr>
        <i/>
        <sz val="10"/>
        <rFont val="Arial"/>
        <family val="2"/>
      </rPr>
      <t>Linmas</t>
    </r>
  </si>
  <si>
    <r>
      <t>•</t>
    </r>
    <r>
      <rPr>
        <i/>
        <sz val="10"/>
        <color rgb="FF000000"/>
        <rFont val="Roboto"/>
      </rPr>
      <t>Peningkatan Kapasitas</t>
    </r>
    <r>
      <rPr>
        <i/>
        <sz val="10"/>
        <rFont val="Arial"/>
        <family val="2"/>
      </rPr>
      <t xml:space="preserve"> Swadeshi</t>
    </r>
  </si>
  <si>
    <r>
      <t>•</t>
    </r>
    <r>
      <rPr>
        <i/>
        <sz val="10"/>
        <color rgb="FF000000"/>
        <rFont val="Roboto"/>
      </rPr>
      <t>Agenda Turnamen Bulu Tangkis Tahunan</t>
    </r>
  </si>
  <si>
    <r>
      <t>•</t>
    </r>
    <r>
      <rPr>
        <i/>
        <sz val="10"/>
        <color rgb="FF000000"/>
        <rFont val="Roboto"/>
      </rPr>
      <t xml:space="preserve">Agenda Pertandingan persahabatan </t>
    </r>
  </si>
  <si>
    <t>Desa Pandanlandung</t>
  </si>
  <si>
    <t>Peningkatan Kesejahteraan Kepala Desa</t>
  </si>
  <si>
    <t>APBDes</t>
  </si>
  <si>
    <t>Peningkatan Kesejahteraan Perangkat Desa</t>
  </si>
  <si>
    <t>17 Org</t>
  </si>
  <si>
    <t>Peningkatan pelayanan pemerintah Desa</t>
  </si>
  <si>
    <t>Peningkatan Kesejahteraan BPD</t>
  </si>
  <si>
    <t>Peningkatan pelayanan pemerintahan Desa</t>
  </si>
  <si>
    <t>12 bulan</t>
  </si>
  <si>
    <t>45 Org</t>
  </si>
  <si>
    <t>Peningkatan Pelayanan ke Masyrakat</t>
  </si>
  <si>
    <t>Pengadaan Sarana dan Prasarana Posyandu</t>
  </si>
  <si>
    <t>Sarana Prasarana Posyandu</t>
  </si>
  <si>
    <t>Sarpras Posyandu</t>
  </si>
  <si>
    <t>Operasional Forum Anak</t>
  </si>
  <si>
    <t>Pandanlandung, 1 Desember 2025</t>
  </si>
  <si>
    <t>JUMLAH RKPDESA TAHUN ANGGARAN 2026</t>
  </si>
  <si>
    <t>Perawatan Lapangan</t>
  </si>
  <si>
    <t>Pembelian Terpal</t>
  </si>
  <si>
    <t>Pembelian Karpet</t>
  </si>
  <si>
    <t>HARI SULISTIONO, S.AP</t>
  </si>
  <si>
    <t>Pembayaran Iuran BPJS Ketenagakerjaan Perangkat Desa</t>
  </si>
  <si>
    <t>Pandanlandung, 29 November 2025</t>
  </si>
  <si>
    <t>RINO EKA NANDA</t>
  </si>
  <si>
    <r>
      <t xml:space="preserve">UPAH </t>
    </r>
    <r>
      <rPr>
        <b/>
        <i/>
        <sz val="10"/>
        <rFont val="Arial"/>
        <family val="2"/>
      </rPr>
      <t>(Belanja Jasa / Modal)</t>
    </r>
  </si>
  <si>
    <t>: Jawa Timur</t>
  </si>
  <si>
    <t xml:space="preserve">Kabupaten </t>
  </si>
  <si>
    <t>: Malang</t>
  </si>
  <si>
    <t>: Dana Desa</t>
  </si>
  <si>
    <t>: Wagir</t>
  </si>
  <si>
    <t>: Perkerasan Rabat</t>
  </si>
  <si>
    <t>: Pandanlandung</t>
  </si>
  <si>
    <t>: ............</t>
  </si>
  <si>
    <t>Kategori Biaya</t>
  </si>
  <si>
    <t>Harga Satuan      (Rp )</t>
  </si>
  <si>
    <t>Jumlah Biaya Konstruksi (Dana Desa)                         Rp.</t>
  </si>
  <si>
    <t>Jumlah Total               ( Rp )</t>
  </si>
  <si>
    <t>Beton cor readymix</t>
  </si>
  <si>
    <t>Pasir Urug</t>
  </si>
  <si>
    <t>Lembar</t>
  </si>
  <si>
    <t>Kawat Bendrat</t>
  </si>
  <si>
    <t>Besi 8</t>
  </si>
  <si>
    <t>Ljr</t>
  </si>
  <si>
    <t>Plastik</t>
  </si>
  <si>
    <t>Sapu</t>
  </si>
  <si>
    <t>Garuk</t>
  </si>
  <si>
    <t xml:space="preserve"> Prasasti</t>
  </si>
  <si>
    <r>
      <t xml:space="preserve">UPAH </t>
    </r>
    <r>
      <rPr>
        <b/>
        <i/>
        <sz val="10"/>
        <rFont val="Arial"/>
        <family val="2"/>
      </rPr>
      <t>(Belanja Jasa)</t>
    </r>
  </si>
  <si>
    <t>Honor Pelaksana dan Pengawas (Belanja Gaji)</t>
  </si>
  <si>
    <t>Panjang</t>
  </si>
  <si>
    <t>Lebar</t>
  </si>
  <si>
    <t>Tebal</t>
  </si>
  <si>
    <t>Hrg/M2</t>
  </si>
  <si>
    <t>Dibuat Oleh</t>
  </si>
  <si>
    <t>Hrg/M3</t>
  </si>
  <si>
    <t>Kepala Desa</t>
  </si>
  <si>
    <t>.........................</t>
  </si>
  <si>
    <t>Master</t>
  </si>
  <si>
    <t>........................</t>
  </si>
  <si>
    <t xml:space="preserve">Papan Begesting </t>
  </si>
  <si>
    <t>Paku</t>
  </si>
  <si>
    <t xml:space="preserve">Kegiatan Rutin SSB Pandawa </t>
  </si>
  <si>
    <t>Pengadaan Seragam Untuk 7 Group</t>
  </si>
  <si>
    <t>Honor Narasumber</t>
  </si>
  <si>
    <t>Perjalanan Dinas</t>
  </si>
  <si>
    <t>s.ADD</t>
  </si>
  <si>
    <t>s.DDS</t>
  </si>
  <si>
    <t>s.PBH</t>
  </si>
  <si>
    <t>s.DLL</t>
  </si>
  <si>
    <t>HDMI Wireless</t>
  </si>
  <si>
    <t>Tipe x</t>
  </si>
  <si>
    <t>Penyusunan dan Penetapan Peraturan Desa seperti: Perdes Lingkungan Hidup, BUMDesa, dll</t>
  </si>
  <si>
    <t>Dus</t>
  </si>
  <si>
    <t>Bantuan Operasional Ilal Ahad</t>
  </si>
  <si>
    <t>Bantuan Operasional RW</t>
  </si>
  <si>
    <t>Peningkatan Kualitas Pelayanan Kepada Masyarakat di Tingkat Wilayah</t>
  </si>
  <si>
    <t>RW</t>
  </si>
  <si>
    <t>PROYEKSI SILPA APBDES 2025</t>
  </si>
  <si>
    <t>UNTUNG WIJOYO</t>
  </si>
  <si>
    <t>DUKUNGAN PENGEMBALIAN KDMP</t>
  </si>
  <si>
    <t>-</t>
  </si>
  <si>
    <t>PENANGGULANGAN BENCANA, DARURAT, DAN MENDESAK</t>
  </si>
  <si>
    <t>Dukungan Pengembalian KDMP</t>
  </si>
  <si>
    <t>: Penyediaan Penghasilan Tetap dan Tunjangan Kepala Desa</t>
  </si>
  <si>
    <t>Belanja Jasa Honorarium Tim Pelaksana Kegiatan</t>
  </si>
  <si>
    <t>Dasar Hukum: Peraturan Bupati Malang Nomor 184 Tahun 2024 tentang Standar Biaya Umum Desa Tahun 2025, lampiran angka 1 huruf m, n</t>
  </si>
  <si>
    <t>Konsumsi Musdes APBDesa</t>
  </si>
  <si>
    <t>Pengeluaran Pembiayaan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</si>
</sst>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###0.;###0."/>
    <numFmt numFmtId="166" formatCode="_(* #,##0_);_(* \(#,##0\);_(* &quot;-&quot;??_);_(@_)"/>
    <numFmt numFmtId="167" formatCode="0."/>
    <numFmt numFmtId="168" formatCode="#,##0.0_);\(#,##0.0\)"/>
    <numFmt numFmtId="169" formatCode="#,##0_);\!\(#,##0\!\)"/>
    <numFmt numFmtId="170" formatCode="_(* #,##0_);_(* \(#,##0\);_(* &quot;-&quot;?_);_(@_)"/>
    <numFmt numFmtId="171" formatCode="_(* #,##0.0_);_(* \(#,##0.0\);_(* &quot;-&quot;??_);_(@_)"/>
    <numFmt numFmtId="172" formatCode="_(* #,##0.0_);_(* \(#,##0.0\);_(* &quot;-&quot;_);_(@_)"/>
    <numFmt numFmtId="173" formatCode="_(* #,##0.00_);_(* \(#,##0.00\);_(* &quot;-&quot;_);_(@_)"/>
    <numFmt numFmtId="174" formatCode="_(* #,##0.0000_);_(* \(#,##0.0000\);_(* &quot;-&quot;??_);_(@_)"/>
    <numFmt numFmtId="175" formatCode="_-&quot;Rp&quot;* #,##0_-;\-&quot;Rp&quot;* #,##0_-;_-&quot;Rp&quot;* &quot;-&quot;??_-;_-@_-"/>
    <numFmt numFmtId="176" formatCode="_-[$Rp-421]* #,##0_-;\-[$Rp-421]* #,##0_-;_-[$Rp-421]* &quot;-&quot;_-;_-@_-"/>
  </numFmts>
  <fonts count="95" x14ac:knownFonts="1">
    <font>
      <sz val="10"/>
      <name val="Times New Roman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rgb="FF000000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6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1"/>
      <color rgb="FF000000"/>
      <name val="Arial"/>
      <family val="2"/>
    </font>
    <font>
      <i/>
      <sz val="11"/>
      <color rgb="FF000000"/>
      <name val="Arial"/>
      <family val="2"/>
    </font>
    <font>
      <sz val="7"/>
      <color rgb="FF000000"/>
      <name val="Arial"/>
      <family val="2"/>
    </font>
    <font>
      <i/>
      <sz val="7"/>
      <color rgb="FF000000"/>
      <name val="Arial"/>
      <family val="2"/>
    </font>
    <font>
      <b/>
      <sz val="7"/>
      <color rgb="FF000000"/>
      <name val="Arial"/>
      <family val="2"/>
    </font>
    <font>
      <sz val="5"/>
      <color rgb="FF000000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  <font>
      <b/>
      <i/>
      <sz val="7"/>
      <color rgb="FF000000"/>
      <name val="Arial"/>
      <family val="2"/>
    </font>
    <font>
      <i/>
      <sz val="9"/>
      <color rgb="FF000000"/>
      <name val="Arial"/>
      <family val="2"/>
    </font>
    <font>
      <sz val="7"/>
      <name val="Arial"/>
      <family val="2"/>
    </font>
    <font>
      <i/>
      <sz val="9"/>
      <color rgb="FFFFFFFF"/>
      <name val="Arial"/>
      <family val="2"/>
    </font>
    <font>
      <sz val="9"/>
      <color rgb="FFFFFFFF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i/>
      <sz val="5"/>
      <color rgb="FF000000"/>
      <name val="Arial"/>
      <family val="2"/>
    </font>
    <font>
      <i/>
      <sz val="8"/>
      <color rgb="FF000000"/>
      <name val="Arial"/>
      <family val="2"/>
    </font>
    <font>
      <sz val="9"/>
      <color rgb="FF000000"/>
      <name val="Arial"/>
      <family val="2"/>
    </font>
    <font>
      <b/>
      <u/>
      <sz val="7"/>
      <color rgb="FF000000"/>
      <name val="Arial"/>
      <family val="2"/>
    </font>
    <font>
      <b/>
      <u/>
      <sz val="7"/>
      <name val="Arial"/>
      <family val="2"/>
    </font>
    <font>
      <u/>
      <sz val="7"/>
      <name val="Arial"/>
      <family val="2"/>
    </font>
    <font>
      <u/>
      <sz val="7"/>
      <color rgb="FF000000"/>
      <name val="Arial"/>
      <family val="2"/>
    </font>
    <font>
      <b/>
      <u/>
      <sz val="10"/>
      <color rgb="FF000000"/>
      <name val="Arial"/>
      <family val="2"/>
    </font>
    <font>
      <b/>
      <i/>
      <u/>
      <sz val="9"/>
      <color rgb="FF00000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color rgb="FF000000"/>
      <name val="Times New Roman"/>
      <family val="1"/>
    </font>
    <font>
      <sz val="11"/>
      <color indexed="45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30"/>
      <name val="Arial"/>
      <family val="2"/>
    </font>
    <font>
      <sz val="10"/>
      <color indexed="9"/>
      <name val="Arial"/>
      <family val="2"/>
    </font>
    <font>
      <b/>
      <u val="singleAccounting"/>
      <sz val="10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sz val="10"/>
      <color rgb="FFFFFFFF"/>
      <name val="Arial"/>
      <family val="2"/>
    </font>
    <font>
      <b/>
      <i/>
      <sz val="10"/>
      <color indexed="64"/>
      <name val="Arial"/>
      <family val="2"/>
    </font>
    <font>
      <sz val="10"/>
      <color indexed="64"/>
      <name val="Arial"/>
      <family val="2"/>
    </font>
    <font>
      <sz val="10"/>
      <color rgb="FFF2DCDB"/>
      <name val="Arial"/>
      <family val="2"/>
    </font>
    <font>
      <sz val="10"/>
      <color rgb="FFFBD4B4"/>
      <name val="Arial"/>
      <family val="2"/>
    </font>
    <font>
      <b/>
      <u/>
      <sz val="10"/>
      <color rgb="FFFFFFFF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name val="Arial Narrow"/>
      <family val="2"/>
    </font>
    <font>
      <sz val="8"/>
      <name val="Times New Roman"/>
      <family val="1"/>
    </font>
    <font>
      <b/>
      <sz val="7"/>
      <color rgb="FF000000"/>
      <name val="Arial"/>
      <family val="2"/>
    </font>
    <font>
      <b/>
      <i/>
      <sz val="7"/>
      <name val="Arial"/>
      <family val="2"/>
    </font>
    <font>
      <sz val="7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8"/>
      <name val="Times New Roman"/>
      <family val="1"/>
    </font>
    <font>
      <b/>
      <sz val="8"/>
      <name val="Arial"/>
      <family val="2"/>
    </font>
    <font>
      <i/>
      <sz val="7"/>
      <color rgb="FF00000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color rgb="FF000000"/>
      <name val="Arial"/>
      <family val="2"/>
    </font>
    <font>
      <b/>
      <i/>
      <sz val="8"/>
      <color rgb="FF000000"/>
      <name val="Arial"/>
      <family val="2"/>
    </font>
    <font>
      <sz val="7"/>
      <color rgb="FF000000"/>
      <name val="Arial"/>
      <family val="2"/>
    </font>
    <font>
      <b/>
      <u/>
      <sz val="7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7"/>
      <name val="Arial"/>
      <family val="2"/>
    </font>
    <font>
      <sz val="10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27"/>
      <name val="Arial"/>
      <family val="2"/>
    </font>
    <font>
      <i/>
      <sz val="10"/>
      <color rgb="FF000000"/>
      <name val="Roboto"/>
    </font>
    <font>
      <i/>
      <sz val="10"/>
      <color theme="1"/>
      <name val="Arial"/>
      <family val="2"/>
    </font>
    <font>
      <i/>
      <sz val="10"/>
      <color theme="1"/>
      <name val="Roboto"/>
    </font>
    <font>
      <sz val="10"/>
      <color theme="5" tint="0.79995117038483843"/>
      <name val="Arial"/>
      <family val="2"/>
    </font>
    <font>
      <sz val="10"/>
      <color indexed="45"/>
      <name val="Arial"/>
      <family val="2"/>
    </font>
    <font>
      <sz val="10"/>
      <color indexed="14"/>
      <name val="Arial"/>
      <family val="2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3">
    <xf numFmtId="0" fontId="0" fillId="0" borderId="0">
      <alignment vertical="center"/>
    </xf>
    <xf numFmtId="0" fontId="60" fillId="0" borderId="0">
      <protection locked="0"/>
    </xf>
    <xf numFmtId="43" fontId="61" fillId="0" borderId="0">
      <protection locked="0"/>
    </xf>
    <xf numFmtId="43" fontId="60" fillId="0" borderId="0">
      <protection locked="0"/>
    </xf>
    <xf numFmtId="0" fontId="10" fillId="0" borderId="0">
      <protection locked="0"/>
    </xf>
    <xf numFmtId="43" fontId="10" fillId="0" borderId="0">
      <protection locked="0"/>
    </xf>
    <xf numFmtId="0" fontId="62" fillId="0" borderId="0">
      <protection locked="0"/>
    </xf>
    <xf numFmtId="0" fontId="10" fillId="0" borderId="0">
      <protection locked="0"/>
    </xf>
    <xf numFmtId="41" fontId="10" fillId="0" borderId="0">
      <protection locked="0"/>
    </xf>
    <xf numFmtId="0" fontId="10" fillId="0" borderId="0">
      <protection locked="0"/>
    </xf>
    <xf numFmtId="43" fontId="10" fillId="0" borderId="0">
      <protection locked="0"/>
    </xf>
    <xf numFmtId="41" fontId="81" fillId="0" borderId="0" applyFont="0" applyFill="0" applyBorder="0" applyAlignment="0" applyProtection="0"/>
    <xf numFmtId="0" fontId="10" fillId="2" borderId="0"/>
    <xf numFmtId="0" fontId="10" fillId="2" borderId="0"/>
    <xf numFmtId="0" fontId="10" fillId="2" borderId="0"/>
    <xf numFmtId="43" fontId="10" fillId="2" borderId="0" applyFont="0" applyFill="0" applyBorder="0" applyAlignment="0" applyProtection="0"/>
    <xf numFmtId="0" fontId="62" fillId="2" borderId="0"/>
    <xf numFmtId="0" fontId="10" fillId="2" borderId="0"/>
    <xf numFmtId="41" fontId="10" fillId="2" borderId="0" applyFont="0" applyFill="0" applyBorder="0" applyAlignment="0" applyProtection="0"/>
    <xf numFmtId="43" fontId="10" fillId="2" borderId="0" applyFont="0" applyFill="0" applyBorder="0" applyAlignment="0" applyProtection="0"/>
    <xf numFmtId="0" fontId="87" fillId="2" borderId="0"/>
    <xf numFmtId="0" fontId="10" fillId="2" borderId="0"/>
    <xf numFmtId="41" fontId="10" fillId="2" borderId="0" applyFont="0" applyFill="0" applyBorder="0" applyAlignment="0" applyProtection="0"/>
  </cellStyleXfs>
  <cellXfs count="1648">
    <xf numFmtId="0" fontId="0" fillId="0" borderId="0" xfId="0">
      <alignment vertical="center"/>
    </xf>
    <xf numFmtId="0" fontId="1" fillId="0" borderId="0" xfId="1" applyFont="1" applyAlignment="1" applyProtection="1">
      <alignment horizontal="center" vertical="top"/>
    </xf>
    <xf numFmtId="0" fontId="1" fillId="0" borderId="0" xfId="1" applyFont="1" applyAlignment="1" applyProtection="1">
      <alignment horizontal="left" vertical="top"/>
    </xf>
    <xf numFmtId="0" fontId="2" fillId="0" borderId="0" xfId="1" applyFont="1" applyAlignment="1" applyProtection="1">
      <alignment horizontal="center" vertical="center"/>
    </xf>
    <xf numFmtId="0" fontId="2" fillId="0" borderId="0" xfId="1" applyFont="1" applyAlignment="1" applyProtection="1">
      <alignment horizontal="left" vertical="center"/>
    </xf>
    <xf numFmtId="41" fontId="2" fillId="0" borderId="0" xfId="1" applyNumberFormat="1" applyFont="1" applyAlignment="1" applyProtection="1">
      <alignment horizontal="center" vertical="center"/>
    </xf>
    <xf numFmtId="0" fontId="1" fillId="0" borderId="0" xfId="1" applyFont="1" applyAlignment="1" applyProtection="1">
      <alignment horizontal="right" vertical="center"/>
    </xf>
    <xf numFmtId="0" fontId="1" fillId="0" borderId="0" xfId="1" applyFont="1" applyAlignment="1" applyProtection="1">
      <alignment horizontal="center" vertical="center"/>
    </xf>
    <xf numFmtId="0" fontId="4" fillId="0" borderId="0" xfId="1" applyFont="1" applyAlignment="1" applyProtection="1">
      <alignment horizontal="center" vertical="top"/>
    </xf>
    <xf numFmtId="41" fontId="7" fillId="0" borderId="11" xfId="1" applyNumberFormat="1" applyFont="1" applyBorder="1" applyAlignment="1" applyProtection="1">
      <alignment horizontal="center" vertical="center" wrapText="1"/>
    </xf>
    <xf numFmtId="0" fontId="7" fillId="0" borderId="11" xfId="1" applyFont="1" applyBorder="1" applyAlignment="1" applyProtection="1">
      <alignment horizontal="center" vertical="center" wrapText="1"/>
    </xf>
    <xf numFmtId="0" fontId="8" fillId="0" borderId="11" xfId="1" applyFont="1" applyBorder="1" applyAlignment="1" applyProtection="1">
      <alignment horizontal="center" vertical="top" wrapText="1"/>
    </xf>
    <xf numFmtId="0" fontId="8" fillId="0" borderId="1" xfId="1" applyFont="1" applyBorder="1" applyAlignment="1" applyProtection="1">
      <alignment horizontal="center" vertical="center" wrapText="1"/>
    </xf>
    <xf numFmtId="41" fontId="8" fillId="0" borderId="11" xfId="1" applyNumberFormat="1" applyFont="1" applyBorder="1" applyAlignment="1" applyProtection="1">
      <alignment horizontal="center" vertical="center" wrapText="1"/>
    </xf>
    <xf numFmtId="165" fontId="2" fillId="0" borderId="5" xfId="1" applyNumberFormat="1" applyFont="1" applyBorder="1" applyAlignment="1" applyProtection="1">
      <alignment horizontal="center" vertical="center" wrapText="1"/>
    </xf>
    <xf numFmtId="41" fontId="9" fillId="0" borderId="9" xfId="1" applyNumberFormat="1" applyFont="1" applyBorder="1" applyAlignment="1" applyProtection="1">
      <alignment vertical="center" wrapText="1"/>
    </xf>
    <xf numFmtId="165" fontId="2" fillId="0" borderId="7" xfId="1" applyNumberFormat="1" applyFont="1" applyBorder="1" applyAlignment="1" applyProtection="1">
      <alignment horizontal="center" vertical="center" wrapText="1"/>
    </xf>
    <xf numFmtId="0" fontId="8" fillId="0" borderId="7" xfId="1" applyFont="1" applyBorder="1" applyAlignment="1" applyProtection="1">
      <alignment horizontal="center" vertical="center" wrapText="1"/>
    </xf>
    <xf numFmtId="0" fontId="11" fillId="0" borderId="0" xfId="1" applyFont="1" applyAlignment="1" applyProtection="1">
      <alignment horizontal="center" vertical="center"/>
    </xf>
    <xf numFmtId="41" fontId="12" fillId="0" borderId="0" xfId="1" applyNumberFormat="1" applyFont="1" applyAlignment="1" applyProtection="1">
      <alignment horizontal="center" vertical="center"/>
    </xf>
    <xf numFmtId="43" fontId="12" fillId="0" borderId="0" xfId="1" applyNumberFormat="1" applyFont="1" applyAlignment="1" applyProtection="1">
      <alignment horizontal="left" vertical="center"/>
    </xf>
    <xf numFmtId="165" fontId="2" fillId="0" borderId="11" xfId="1" applyNumberFormat="1" applyFont="1" applyBorder="1" applyAlignment="1" applyProtection="1">
      <alignment horizontal="center" vertical="center" wrapText="1"/>
    </xf>
    <xf numFmtId="0" fontId="8" fillId="0" borderId="11" xfId="1" applyFont="1" applyBorder="1" applyAlignment="1" applyProtection="1">
      <alignment horizontal="center" vertical="center" wrapText="1"/>
    </xf>
    <xf numFmtId="0" fontId="1" fillId="0" borderId="0" xfId="1" applyFont="1" applyAlignment="1" applyProtection="1">
      <alignment horizontal="left" vertical="center"/>
    </xf>
    <xf numFmtId="0" fontId="2" fillId="0" borderId="11" xfId="1" applyFont="1" applyBorder="1" applyAlignment="1" applyProtection="1">
      <alignment horizontal="center" vertical="center" wrapText="1"/>
    </xf>
    <xf numFmtId="0" fontId="2" fillId="0" borderId="0" xfId="1" applyFont="1" applyAlignment="1" applyProtection="1">
      <alignment horizontal="left" vertical="top" wrapText="1"/>
    </xf>
    <xf numFmtId="165" fontId="2" fillId="0" borderId="1" xfId="1" applyNumberFormat="1" applyFont="1" applyBorder="1" applyAlignment="1" applyProtection="1">
      <alignment horizontal="center" vertical="center" wrapText="1"/>
    </xf>
    <xf numFmtId="0" fontId="2" fillId="0" borderId="1" xfId="1" applyFont="1" applyBorder="1" applyAlignment="1" applyProtection="1">
      <alignment horizontal="center" vertical="center" wrapText="1"/>
    </xf>
    <xf numFmtId="41" fontId="2" fillId="0" borderId="11" xfId="1" applyNumberFormat="1" applyFont="1" applyBorder="1" applyAlignment="1" applyProtection="1">
      <alignment horizontal="center" vertical="center" wrapText="1"/>
    </xf>
    <xf numFmtId="41" fontId="9" fillId="0" borderId="18" xfId="1" applyNumberFormat="1" applyFont="1" applyBorder="1" applyAlignment="1" applyProtection="1">
      <alignment vertical="center" wrapText="1"/>
    </xf>
    <xf numFmtId="0" fontId="2" fillId="0" borderId="7" xfId="1" applyFont="1" applyBorder="1" applyAlignment="1" applyProtection="1">
      <alignment horizontal="center" vertical="center" wrapText="1"/>
    </xf>
    <xf numFmtId="165" fontId="2" fillId="0" borderId="22" xfId="1" applyNumberFormat="1" applyFont="1" applyBorder="1" applyAlignment="1" applyProtection="1">
      <alignment horizontal="center" vertical="center" wrapText="1"/>
    </xf>
    <xf numFmtId="0" fontId="2" fillId="0" borderId="22" xfId="1" applyFont="1" applyBorder="1" applyAlignment="1" applyProtection="1">
      <alignment horizontal="center" vertical="center" wrapText="1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14" fillId="0" borderId="15" xfId="1" applyNumberFormat="1" applyFont="1" applyBorder="1" applyAlignment="1" applyProtection="1">
      <alignment horizontal="center" vertical="center"/>
    </xf>
    <xf numFmtId="43" fontId="1" fillId="0" borderId="0" xfId="2" applyFont="1" applyAlignment="1" applyProtection="1">
      <alignment horizontal="left" vertical="top"/>
    </xf>
    <xf numFmtId="165" fontId="2" fillId="0" borderId="5" xfId="1" applyNumberFormat="1" applyFont="1" applyBorder="1" applyAlignment="1" applyProtection="1">
      <alignment horizontal="left" vertical="center" wrapText="1"/>
    </xf>
    <xf numFmtId="0" fontId="16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49" fontId="16" fillId="0" borderId="23" xfId="0" applyNumberFormat="1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49" fontId="18" fillId="0" borderId="24" xfId="0" applyNumberFormat="1" applyFont="1" applyBorder="1" applyAlignment="1">
      <alignment horizontal="left" vertical="center"/>
    </xf>
    <xf numFmtId="49" fontId="18" fillId="0" borderId="25" xfId="0" applyNumberFormat="1" applyFont="1" applyBorder="1" applyAlignment="1">
      <alignment horizontal="left" vertical="center"/>
    </xf>
    <xf numFmtId="43" fontId="18" fillId="0" borderId="24" xfId="0" applyNumberFormat="1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49" fontId="16" fillId="0" borderId="25" xfId="0" applyNumberFormat="1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26" xfId="0" applyFont="1" applyBorder="1" applyAlignment="1">
      <alignment horizontal="left" vertical="center"/>
    </xf>
    <xf numFmtId="43" fontId="16" fillId="0" borderId="24" xfId="2" applyFont="1" applyBorder="1" applyAlignment="1" applyProtection="1">
      <alignment horizontal="left" vertical="center"/>
    </xf>
    <xf numFmtId="0" fontId="16" fillId="0" borderId="24" xfId="0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3" fontId="18" fillId="0" borderId="24" xfId="2" applyFont="1" applyBorder="1" applyAlignment="1" applyProtection="1">
      <alignment horizontal="left"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center" vertical="center"/>
    </xf>
    <xf numFmtId="49" fontId="16" fillId="0" borderId="28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left" vertical="center"/>
    </xf>
    <xf numFmtId="43" fontId="16" fillId="0" borderId="27" xfId="2" applyFont="1" applyBorder="1" applyAlignment="1" applyProtection="1">
      <alignment horizontal="left" vertical="center"/>
    </xf>
    <xf numFmtId="0" fontId="16" fillId="0" borderId="27" xfId="0" applyFont="1" applyBorder="1" applyAlignment="1">
      <alignment horizontal="center" vertical="center"/>
    </xf>
    <xf numFmtId="43" fontId="18" fillId="0" borderId="15" xfId="0" applyNumberFormat="1" applyFont="1" applyBorder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top"/>
    </xf>
    <xf numFmtId="49" fontId="17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top"/>
    </xf>
    <xf numFmtId="3" fontId="22" fillId="0" borderId="0" xfId="0" applyNumberFormat="1" applyFont="1" applyAlignment="1">
      <alignment vertical="top"/>
    </xf>
    <xf numFmtId="49" fontId="23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1" fontId="18" fillId="0" borderId="11" xfId="0" applyNumberFormat="1" applyFont="1" applyBorder="1" applyAlignment="1">
      <alignment horizontal="center" vertical="center" shrinkToFit="1"/>
    </xf>
    <xf numFmtId="167" fontId="18" fillId="0" borderId="1" xfId="0" applyNumberFormat="1" applyFont="1" applyBorder="1" applyAlignment="1">
      <alignment horizontal="left" vertical="center" shrinkToFit="1"/>
    </xf>
    <xf numFmtId="0" fontId="23" fillId="0" borderId="2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4" fontId="18" fillId="0" borderId="11" xfId="0" applyNumberFormat="1" applyFont="1" applyBorder="1" applyAlignment="1">
      <alignment horizontal="right" vertical="center" shrinkToFit="1"/>
    </xf>
    <xf numFmtId="0" fontId="24" fillId="0" borderId="22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4" fillId="0" borderId="17" xfId="0" applyFont="1" applyBorder="1" applyAlignment="1">
      <alignment vertical="center" wrapText="1"/>
    </xf>
    <xf numFmtId="0" fontId="24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4" fontId="25" fillId="0" borderId="22" xfId="0" applyNumberFormat="1" applyFont="1" applyBorder="1" applyAlignment="1">
      <alignment horizontal="right" vertical="center" shrinkToFit="1"/>
    </xf>
    <xf numFmtId="0" fontId="26" fillId="0" borderId="0" xfId="0" applyFont="1" applyAlignment="1">
      <alignment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0" borderId="1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4" fontId="16" fillId="0" borderId="7" xfId="0" applyNumberFormat="1" applyFont="1" applyBorder="1" applyAlignment="1">
      <alignment horizontal="right" vertical="center" shrinkToFit="1"/>
    </xf>
    <xf numFmtId="0" fontId="1" fillId="0" borderId="2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49" fontId="16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0" fontId="27" fillId="0" borderId="17" xfId="0" applyFont="1" applyBorder="1" applyAlignment="1">
      <alignment horizontal="right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right" vertical="center" shrinkToFit="1"/>
    </xf>
    <xf numFmtId="0" fontId="28" fillId="0" borderId="0" xfId="0" applyFont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4" fontId="16" fillId="0" borderId="22" xfId="0" applyNumberFormat="1" applyFont="1" applyBorder="1" applyAlignment="1">
      <alignment horizontal="right" vertical="center" shrinkToFi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49" fontId="16" fillId="0" borderId="9" xfId="0" applyNumberFormat="1" applyFont="1" applyBorder="1" applyAlignment="1">
      <alignment horizontal="center" vertical="center" wrapText="1"/>
    </xf>
    <xf numFmtId="0" fontId="27" fillId="0" borderId="9" xfId="0" applyFont="1" applyBorder="1" applyAlignment="1">
      <alignment vertical="center" wrapText="1"/>
    </xf>
    <xf numFmtId="0" fontId="27" fillId="0" borderId="9" xfId="0" applyFont="1" applyBorder="1" applyAlignment="1">
      <alignment horizontal="right" vertical="center" wrapText="1"/>
    </xf>
    <xf numFmtId="0" fontId="27" fillId="0" borderId="10" xfId="0" applyFont="1" applyBorder="1" applyAlignment="1">
      <alignment horizontal="right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right" vertical="center" shrinkToFit="1"/>
    </xf>
    <xf numFmtId="0" fontId="1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49" fontId="16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20" xfId="0" applyFont="1" applyBorder="1" applyAlignment="1">
      <alignment vertical="center" wrapText="1"/>
    </xf>
    <xf numFmtId="166" fontId="22" fillId="2" borderId="0" xfId="2" applyNumberFormat="1" applyFont="1" applyFill="1">
      <protection locked="0"/>
    </xf>
    <xf numFmtId="0" fontId="25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49" fontId="20" fillId="0" borderId="23" xfId="0" applyNumberFormat="1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49" fontId="20" fillId="0" borderId="24" xfId="0" applyNumberFormat="1" applyFont="1" applyBorder="1" applyAlignment="1">
      <alignment horizontal="left" vertical="center"/>
    </xf>
    <xf numFmtId="49" fontId="20" fillId="0" borderId="25" xfId="0" applyNumberFormat="1" applyFont="1" applyBorder="1" applyAlignment="1">
      <alignment horizontal="left" vertical="center"/>
    </xf>
    <xf numFmtId="43" fontId="20" fillId="0" borderId="24" xfId="0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43" fontId="20" fillId="0" borderId="24" xfId="2" applyFont="1" applyBorder="1" applyAlignment="1" applyProtection="1">
      <alignment horizontal="left" vertical="center"/>
    </xf>
    <xf numFmtId="0" fontId="17" fillId="0" borderId="27" xfId="0" applyFont="1" applyBorder="1" applyAlignment="1">
      <alignment horizontal="center" vertical="center"/>
    </xf>
    <xf numFmtId="43" fontId="20" fillId="0" borderId="15" xfId="0" applyNumberFormat="1" applyFont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0" fontId="17" fillId="0" borderId="0" xfId="0" applyFont="1" applyAlignment="1">
      <alignment horizontal="left" vertical="top"/>
    </xf>
    <xf numFmtId="49" fontId="17" fillId="0" borderId="24" xfId="0" applyNumberFormat="1" applyFont="1" applyBorder="1" applyAlignment="1">
      <alignment horizontal="left" vertical="center"/>
    </xf>
    <xf numFmtId="49" fontId="17" fillId="0" borderId="25" xfId="0" applyNumberFormat="1" applyFont="1" applyBorder="1" applyAlignment="1">
      <alignment horizontal="left" vertical="center"/>
    </xf>
    <xf numFmtId="43" fontId="17" fillId="0" borderId="24" xfId="0" applyNumberFormat="1" applyFont="1" applyBorder="1" applyAlignment="1">
      <alignment horizontal="left" vertical="center"/>
    </xf>
    <xf numFmtId="43" fontId="17" fillId="0" borderId="24" xfId="2" applyFont="1" applyBorder="1" applyAlignment="1" applyProtection="1">
      <alignment horizontal="left" vertical="center"/>
    </xf>
    <xf numFmtId="0" fontId="17" fillId="0" borderId="15" xfId="0" applyFont="1" applyBorder="1" applyAlignment="1">
      <alignment horizontal="center" vertical="top"/>
    </xf>
    <xf numFmtId="0" fontId="25" fillId="0" borderId="15" xfId="0" applyFont="1" applyBorder="1" applyAlignment="1">
      <alignment horizontal="center" vertical="center"/>
    </xf>
    <xf numFmtId="43" fontId="20" fillId="0" borderId="24" xfId="0" applyNumberFormat="1" applyFont="1" applyBorder="1" applyAlignment="1">
      <alignment horizontal="right" vertical="center"/>
    </xf>
    <xf numFmtId="43" fontId="33" fillId="0" borderId="24" xfId="2" applyFont="1" applyBorder="1" applyAlignment="1" applyProtection="1">
      <alignment horizontal="left" vertical="center"/>
    </xf>
    <xf numFmtId="0" fontId="22" fillId="0" borderId="0" xfId="0" applyFont="1" applyAlignment="1">
      <alignment vertical="center" wrapText="1"/>
    </xf>
    <xf numFmtId="0" fontId="16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22" fillId="0" borderId="0" xfId="0" applyFont="1" applyAlignment="1">
      <alignment vertical="top"/>
    </xf>
    <xf numFmtId="0" fontId="21" fillId="0" borderId="9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center" vertical="center" wrapText="1"/>
    </xf>
    <xf numFmtId="1" fontId="18" fillId="0" borderId="40" xfId="0" applyNumberFormat="1" applyFont="1" applyBorder="1" applyAlignment="1">
      <alignment horizontal="center" vertical="center" shrinkToFit="1"/>
    </xf>
    <xf numFmtId="1" fontId="18" fillId="0" borderId="39" xfId="0" applyNumberFormat="1" applyFont="1" applyBorder="1" applyAlignment="1">
      <alignment horizontal="center" vertical="center" shrinkToFit="1"/>
    </xf>
    <xf numFmtId="167" fontId="18" fillId="0" borderId="36" xfId="0" applyNumberFormat="1" applyFont="1" applyBorder="1" applyAlignment="1">
      <alignment horizontal="left" vertical="center" shrinkToFi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" fontId="18" fillId="0" borderId="41" xfId="0" applyNumberFormat="1" applyFont="1" applyBorder="1" applyAlignment="1">
      <alignment horizontal="right" vertical="center" shrinkToFit="1"/>
    </xf>
    <xf numFmtId="0" fontId="24" fillId="0" borderId="42" xfId="0" applyFont="1" applyBorder="1" applyAlignment="1">
      <alignment horizontal="left" vertical="center" wrapText="1"/>
    </xf>
    <xf numFmtId="0" fontId="24" fillId="0" borderId="0" xfId="0" applyFont="1" applyAlignment="1">
      <alignment horizontal="right" vertical="center" wrapText="1"/>
    </xf>
    <xf numFmtId="0" fontId="24" fillId="0" borderId="17" xfId="0" applyFont="1" applyBorder="1" applyAlignment="1">
      <alignment horizontal="right" vertical="center" wrapText="1"/>
    </xf>
    <xf numFmtId="0" fontId="24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4" fontId="25" fillId="0" borderId="43" xfId="0" applyNumberFormat="1" applyFont="1" applyBorder="1" applyAlignment="1">
      <alignment horizontal="right" vertical="center" shrinkToFit="1"/>
    </xf>
    <xf numFmtId="0" fontId="27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" fontId="16" fillId="0" borderId="43" xfId="0" applyNumberFormat="1" applyFont="1" applyBorder="1" applyAlignment="1">
      <alignment horizontal="right" vertical="center" shrinkToFit="1"/>
    </xf>
    <xf numFmtId="0" fontId="16" fillId="0" borderId="17" xfId="0" applyFont="1" applyBorder="1" applyAlignment="1">
      <alignment horizontal="center" vertical="center" wrapText="1"/>
    </xf>
    <xf numFmtId="4" fontId="16" fillId="0" borderId="41" xfId="0" applyNumberFormat="1" applyFont="1" applyBorder="1" applyAlignment="1">
      <alignment horizontal="right" vertical="center" shrinkToFit="1"/>
    </xf>
    <xf numFmtId="0" fontId="27" fillId="0" borderId="42" xfId="0" applyFont="1" applyBorder="1" applyAlignment="1">
      <alignment horizontal="left" vertical="center" wrapText="1"/>
    </xf>
    <xf numFmtId="4" fontId="16" fillId="0" borderId="44" xfId="0" applyNumberFormat="1" applyFont="1" applyBorder="1" applyAlignment="1">
      <alignment horizontal="right" vertical="center" shrinkToFit="1"/>
    </xf>
    <xf numFmtId="0" fontId="1" fillId="0" borderId="38" xfId="0" applyFont="1" applyBorder="1" applyAlignment="1">
      <alignment horizontal="left" vertical="center" wrapText="1"/>
    </xf>
    <xf numFmtId="0" fontId="27" fillId="0" borderId="8" xfId="0" applyFont="1" applyBorder="1" applyAlignment="1">
      <alignment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4" fontId="16" fillId="0" borderId="11" xfId="0" applyNumberFormat="1" applyFont="1" applyBorder="1" applyAlignment="1">
      <alignment horizontal="right" vertical="center" shrinkToFit="1"/>
    </xf>
    <xf numFmtId="4" fontId="16" fillId="0" borderId="39" xfId="0" applyNumberFormat="1" applyFont="1" applyBorder="1" applyAlignment="1">
      <alignment horizontal="right" vertical="center" shrinkToFit="1"/>
    </xf>
    <xf numFmtId="0" fontId="1" fillId="0" borderId="40" xfId="0" applyFont="1" applyBorder="1" applyAlignment="1">
      <alignment horizontal="left" vertical="center" wrapText="1"/>
    </xf>
    <xf numFmtId="4" fontId="18" fillId="0" borderId="39" xfId="0" applyNumberFormat="1" applyFont="1" applyBorder="1" applyAlignment="1">
      <alignment horizontal="right" vertical="center" shrinkToFit="1"/>
    </xf>
    <xf numFmtId="0" fontId="33" fillId="0" borderId="0" xfId="0" applyFont="1" applyAlignment="1">
      <alignment vertical="top"/>
    </xf>
    <xf numFmtId="0" fontId="1" fillId="0" borderId="10" xfId="0" applyFont="1" applyBorder="1" applyAlignment="1">
      <alignment horizontal="center" vertical="center" wrapText="1"/>
    </xf>
    <xf numFmtId="43" fontId="1" fillId="0" borderId="0" xfId="0" applyNumberFormat="1" applyFont="1" applyAlignment="1">
      <alignment horizontal="left" vertical="top"/>
    </xf>
    <xf numFmtId="0" fontId="1" fillId="0" borderId="19" xfId="0" applyFont="1" applyBorder="1" applyAlignment="1">
      <alignment horizontal="left" vertical="center" wrapText="1"/>
    </xf>
    <xf numFmtId="0" fontId="27" fillId="0" borderId="20" xfId="0" applyFont="1" applyBorder="1" applyAlignment="1">
      <alignment vertical="center" wrapText="1"/>
    </xf>
    <xf numFmtId="0" fontId="27" fillId="0" borderId="20" xfId="0" applyFont="1" applyBorder="1" applyAlignment="1">
      <alignment horizontal="right" vertical="center" wrapText="1"/>
    </xf>
    <xf numFmtId="0" fontId="27" fillId="0" borderId="21" xfId="0" applyFont="1" applyBorder="1" applyAlignment="1">
      <alignment horizontal="right" vertical="center" wrapText="1"/>
    </xf>
    <xf numFmtId="0" fontId="27" fillId="0" borderId="21" xfId="0" applyFont="1" applyBorder="1" applyAlignment="1">
      <alignment horizontal="center" vertical="center" wrapText="1"/>
    </xf>
    <xf numFmtId="4" fontId="16" fillId="0" borderId="45" xfId="0" applyNumberFormat="1" applyFont="1" applyBorder="1" applyAlignment="1">
      <alignment horizontal="right" vertical="center" shrinkToFit="1"/>
    </xf>
    <xf numFmtId="49" fontId="27" fillId="0" borderId="0" xfId="0" applyNumberFormat="1" applyFont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4" fontId="16" fillId="0" borderId="48" xfId="0" applyNumberFormat="1" applyFont="1" applyBorder="1" applyAlignment="1">
      <alignment horizontal="right" vertical="center" shrinkToFit="1"/>
    </xf>
    <xf numFmtId="4" fontId="1" fillId="0" borderId="0" xfId="0" applyNumberFormat="1" applyFont="1" applyAlignment="1">
      <alignment horizontal="left" vertical="top"/>
    </xf>
    <xf numFmtId="49" fontId="27" fillId="0" borderId="20" xfId="0" applyNumberFormat="1" applyFont="1" applyBorder="1" applyAlignment="1">
      <alignment horizontal="center" vertical="center" wrapText="1"/>
    </xf>
    <xf numFmtId="0" fontId="27" fillId="0" borderId="20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49" fontId="16" fillId="0" borderId="20" xfId="0" applyNumberFormat="1" applyFont="1" applyBorder="1" applyAlignment="1">
      <alignment horizontal="center" vertical="center" wrapText="1"/>
    </xf>
    <xf numFmtId="0" fontId="31" fillId="0" borderId="16" xfId="0" applyFont="1" applyBorder="1" applyAlignment="1">
      <alignment vertical="center" wrapText="1"/>
    </xf>
    <xf numFmtId="49" fontId="16" fillId="0" borderId="0" xfId="0" applyNumberFormat="1" applyFont="1" applyAlignment="1">
      <alignment horizontal="left" vertical="center" wrapText="1"/>
    </xf>
    <xf numFmtId="49" fontId="16" fillId="0" borderId="17" xfId="0" applyNumberFormat="1" applyFont="1" applyBorder="1" applyAlignment="1">
      <alignment horizontal="left" vertical="center" wrapText="1"/>
    </xf>
    <xf numFmtId="4" fontId="22" fillId="0" borderId="0" xfId="2" applyNumberFormat="1" applyFont="1" applyAlignment="1" applyProtection="1">
      <alignment vertical="center"/>
    </xf>
    <xf numFmtId="43" fontId="22" fillId="0" borderId="0" xfId="2" applyFont="1" applyAlignment="1" applyProtection="1">
      <alignment vertical="top"/>
    </xf>
    <xf numFmtId="43" fontId="22" fillId="0" borderId="0" xfId="2" applyFont="1" applyAlignment="1" applyProtection="1">
      <alignment vertical="center"/>
    </xf>
    <xf numFmtId="4" fontId="22" fillId="0" borderId="0" xfId="0" applyNumberFormat="1" applyFont="1">
      <alignment vertical="center"/>
    </xf>
    <xf numFmtId="0" fontId="34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167" fontId="18" fillId="0" borderId="22" xfId="0" applyNumberFormat="1" applyFont="1" applyBorder="1" applyAlignment="1">
      <alignment horizontal="left" vertical="center" shrinkToFit="1"/>
    </xf>
    <xf numFmtId="0" fontId="23" fillId="0" borderId="16" xfId="0" applyFont="1" applyBorder="1" applyAlignment="1">
      <alignment horizontal="left" vertical="center" wrapText="1"/>
    </xf>
    <xf numFmtId="4" fontId="35" fillId="0" borderId="22" xfId="0" applyNumberFormat="1" applyFont="1" applyBorder="1" applyAlignment="1">
      <alignment horizontal="right" vertical="center" shrinkToFit="1"/>
    </xf>
    <xf numFmtId="4" fontId="18" fillId="0" borderId="22" xfId="0" applyNumberFormat="1" applyFont="1" applyBorder="1" applyAlignment="1">
      <alignment horizontal="right" vertical="center" shrinkToFit="1"/>
    </xf>
    <xf numFmtId="0" fontId="23" fillId="0" borderId="22" xfId="0" applyFont="1" applyBorder="1" applyAlignment="1">
      <alignment horizontal="left" vertical="center" wrapText="1"/>
    </xf>
    <xf numFmtId="4" fontId="16" fillId="0" borderId="49" xfId="0" applyNumberFormat="1" applyFont="1" applyBorder="1" applyAlignment="1">
      <alignment horizontal="right" vertical="center" shrinkToFit="1"/>
    </xf>
    <xf numFmtId="0" fontId="27" fillId="0" borderId="14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vertical="center" wrapText="1"/>
    </xf>
    <xf numFmtId="0" fontId="34" fillId="0" borderId="0" xfId="0" applyFont="1" applyAlignment="1">
      <alignment vertical="center" wrapText="1"/>
    </xf>
    <xf numFmtId="4" fontId="35" fillId="0" borderId="48" xfId="0" applyNumberFormat="1" applyFont="1" applyBorder="1" applyAlignment="1">
      <alignment horizontal="right" vertical="center" shrinkToFit="1"/>
    </xf>
    <xf numFmtId="0" fontId="37" fillId="0" borderId="19" xfId="0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4" fontId="38" fillId="0" borderId="45" xfId="0" applyNumberFormat="1" applyFont="1" applyBorder="1" applyAlignment="1">
      <alignment horizontal="right" vertical="center" shrinkToFit="1"/>
    </xf>
    <xf numFmtId="0" fontId="27" fillId="0" borderId="45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top"/>
    </xf>
    <xf numFmtId="0" fontId="40" fillId="0" borderId="0" xfId="0" applyFont="1" applyAlignment="1">
      <alignment vertical="center" wrapText="1"/>
    </xf>
    <xf numFmtId="4" fontId="18" fillId="0" borderId="45" xfId="0" applyNumberFormat="1" applyFont="1" applyBorder="1" applyAlignment="1">
      <alignment horizontal="right" vertical="center" shrinkToFit="1"/>
    </xf>
    <xf numFmtId="0" fontId="41" fillId="0" borderId="0" xfId="4" applyFont="1" applyAlignment="1" applyProtection="1">
      <alignment vertical="center"/>
    </xf>
    <xf numFmtId="0" fontId="10" fillId="0" borderId="0" xfId="4" applyProtection="1"/>
    <xf numFmtId="0" fontId="42" fillId="3" borderId="0" xfId="4" applyFont="1" applyFill="1" applyAlignment="1" applyProtection="1">
      <alignment vertical="center"/>
    </xf>
    <xf numFmtId="0" fontId="41" fillId="3" borderId="0" xfId="4" applyFont="1" applyFill="1" applyAlignment="1" applyProtection="1">
      <alignment vertical="center"/>
    </xf>
    <xf numFmtId="166" fontId="10" fillId="0" borderId="0" xfId="4" applyNumberFormat="1" applyProtection="1"/>
    <xf numFmtId="166" fontId="45" fillId="0" borderId="0" xfId="5" applyNumberFormat="1" applyFont="1" applyProtection="1"/>
    <xf numFmtId="0" fontId="41" fillId="3" borderId="60" xfId="6" applyFont="1" applyFill="1" applyBorder="1" applyAlignment="1" applyProtection="1">
      <alignment horizontal="left" vertical="center"/>
    </xf>
    <xf numFmtId="0" fontId="41" fillId="3" borderId="60" xfId="6" applyFont="1" applyFill="1" applyBorder="1" applyAlignment="1" applyProtection="1">
      <alignment vertical="center"/>
    </xf>
    <xf numFmtId="170" fontId="41" fillId="3" borderId="61" xfId="7" applyNumberFormat="1" applyFont="1" applyFill="1" applyBorder="1" applyAlignment="1" applyProtection="1">
      <alignment horizontal="right"/>
    </xf>
    <xf numFmtId="0" fontId="41" fillId="3" borderId="62" xfId="7" applyFont="1" applyFill="1" applyBorder="1" applyAlignment="1" applyProtection="1">
      <alignment horizontal="center"/>
    </xf>
    <xf numFmtId="41" fontId="41" fillId="3" borderId="61" xfId="7" applyNumberFormat="1" applyFont="1" applyFill="1" applyBorder="1" applyProtection="1"/>
    <xf numFmtId="41" fontId="41" fillId="3" borderId="63" xfId="7" applyNumberFormat="1" applyFont="1" applyFill="1" applyBorder="1" applyProtection="1"/>
    <xf numFmtId="0" fontId="41" fillId="3" borderId="60" xfId="7" applyFont="1" applyFill="1" applyBorder="1" applyAlignment="1" applyProtection="1">
      <alignment horizontal="center"/>
    </xf>
    <xf numFmtId="0" fontId="41" fillId="3" borderId="60" xfId="6" applyFont="1" applyFill="1" applyBorder="1" applyAlignment="1" applyProtection="1">
      <alignment horizontal="center" vertical="center"/>
    </xf>
    <xf numFmtId="0" fontId="41" fillId="3" borderId="64" xfId="6" applyFont="1" applyFill="1" applyBorder="1" applyAlignment="1" applyProtection="1">
      <alignment horizontal="left" vertical="center"/>
    </xf>
    <xf numFmtId="0" fontId="41" fillId="3" borderId="20" xfId="6" applyFont="1" applyFill="1" applyBorder="1" applyAlignment="1" applyProtection="1">
      <alignment horizontal="left" vertical="center"/>
    </xf>
    <xf numFmtId="0" fontId="41" fillId="3" borderId="0" xfId="6" applyFont="1" applyFill="1" applyAlignment="1" applyProtection="1">
      <alignment vertical="center"/>
    </xf>
    <xf numFmtId="170" fontId="41" fillId="3" borderId="65" xfId="7" applyNumberFormat="1" applyFont="1" applyFill="1" applyBorder="1" applyAlignment="1" applyProtection="1">
      <alignment horizontal="right"/>
    </xf>
    <xf numFmtId="0" fontId="41" fillId="3" borderId="65" xfId="6" applyFont="1" applyFill="1" applyBorder="1" applyAlignment="1" applyProtection="1">
      <alignment horizontal="center" vertical="center"/>
    </xf>
    <xf numFmtId="41" fontId="41" fillId="3" borderId="66" xfId="7" applyNumberFormat="1" applyFont="1" applyFill="1" applyBorder="1" applyProtection="1"/>
    <xf numFmtId="0" fontId="41" fillId="0" borderId="0" xfId="4" applyFont="1" applyProtection="1"/>
    <xf numFmtId="166" fontId="41" fillId="0" borderId="0" xfId="5" applyNumberFormat="1" applyFont="1" applyProtection="1"/>
    <xf numFmtId="169" fontId="6" fillId="3" borderId="0" xfId="5" applyNumberFormat="1" applyFont="1" applyFill="1" applyAlignment="1" applyProtection="1">
      <alignment horizontal="right" vertical="center"/>
    </xf>
    <xf numFmtId="169" fontId="10" fillId="0" borderId="0" xfId="4" applyNumberFormat="1" applyProtection="1"/>
    <xf numFmtId="43" fontId="45" fillId="0" borderId="0" xfId="5" applyFont="1" applyProtection="1"/>
    <xf numFmtId="43" fontId="10" fillId="0" borderId="0" xfId="2" applyFont="1" applyProtection="1"/>
    <xf numFmtId="0" fontId="10" fillId="0" borderId="0" xfId="4" applyAlignment="1" applyProtection="1">
      <alignment horizontal="center"/>
    </xf>
    <xf numFmtId="166" fontId="10" fillId="0" borderId="0" xfId="4" applyNumberFormat="1" applyAlignment="1" applyProtection="1">
      <alignment horizontal="center"/>
    </xf>
    <xf numFmtId="41" fontId="45" fillId="0" borderId="0" xfId="8" applyFont="1" applyProtection="1"/>
    <xf numFmtId="0" fontId="41" fillId="0" borderId="0" xfId="4" applyFont="1" applyAlignment="1" applyProtection="1">
      <alignment horizontal="center" vertical="center"/>
    </xf>
    <xf numFmtId="0" fontId="41" fillId="0" borderId="0" xfId="4" applyFont="1" applyAlignment="1" applyProtection="1">
      <alignment horizontal="center"/>
    </xf>
    <xf numFmtId="0" fontId="5" fillId="0" borderId="0" xfId="4" applyFont="1" applyAlignment="1" applyProtection="1">
      <alignment horizontal="center"/>
    </xf>
    <xf numFmtId="41" fontId="10" fillId="0" borderId="0" xfId="4" applyNumberFormat="1" applyAlignment="1" applyProtection="1">
      <alignment horizontal="center"/>
    </xf>
    <xf numFmtId="41" fontId="45" fillId="0" borderId="0" xfId="8" applyFont="1" applyAlignment="1" applyProtection="1">
      <alignment horizontal="right"/>
    </xf>
    <xf numFmtId="41" fontId="45" fillId="0" borderId="0" xfId="8" applyFont="1" applyAlignment="1" applyProtection="1">
      <alignment horizontal="center"/>
    </xf>
    <xf numFmtId="0" fontId="44" fillId="0" borderId="0" xfId="4" applyFont="1" applyAlignment="1" applyProtection="1">
      <alignment horizontal="center"/>
    </xf>
    <xf numFmtId="166" fontId="5" fillId="0" borderId="0" xfId="4" applyNumberFormat="1" applyFont="1" applyAlignment="1" applyProtection="1">
      <alignment horizontal="center"/>
    </xf>
    <xf numFmtId="0" fontId="44" fillId="0" borderId="0" xfId="4" applyFont="1" applyAlignment="1" applyProtection="1">
      <alignment horizontal="center" vertical="center"/>
    </xf>
    <xf numFmtId="166" fontId="47" fillId="0" borderId="0" xfId="4" applyNumberFormat="1" applyFont="1" applyAlignment="1" applyProtection="1">
      <alignment horizontal="left"/>
    </xf>
    <xf numFmtId="166" fontId="8" fillId="0" borderId="0" xfId="4" applyNumberFormat="1" applyFont="1" applyAlignment="1" applyProtection="1">
      <alignment horizontal="left"/>
    </xf>
    <xf numFmtId="166" fontId="6" fillId="0" borderId="0" xfId="4" applyNumberFormat="1" applyFont="1" applyAlignment="1" applyProtection="1">
      <alignment horizontal="right"/>
    </xf>
    <xf numFmtId="166" fontId="10" fillId="0" borderId="0" xfId="4" applyNumberFormat="1" applyAlignment="1" applyProtection="1">
      <alignment horizontal="left"/>
    </xf>
    <xf numFmtId="166" fontId="48" fillId="0" borderId="0" xfId="4" applyNumberFormat="1" applyFont="1" applyAlignment="1" applyProtection="1">
      <alignment horizontal="left"/>
    </xf>
    <xf numFmtId="166" fontId="48" fillId="0" borderId="0" xfId="4" applyNumberFormat="1" applyFont="1" applyAlignment="1" applyProtection="1">
      <alignment horizontal="center"/>
    </xf>
    <xf numFmtId="166" fontId="48" fillId="0" borderId="0" xfId="4" applyNumberFormat="1" applyFont="1" applyAlignment="1" applyProtection="1">
      <alignment horizontal="right"/>
    </xf>
    <xf numFmtId="166" fontId="48" fillId="0" borderId="0" xfId="4" applyNumberFormat="1" applyFont="1" applyProtection="1"/>
    <xf numFmtId="171" fontId="48" fillId="0" borderId="0" xfId="4" applyNumberFormat="1" applyFont="1" applyProtection="1"/>
    <xf numFmtId="166" fontId="10" fillId="0" borderId="0" xfId="4" applyNumberFormat="1" applyAlignment="1" applyProtection="1">
      <alignment horizontal="center" vertical="center"/>
    </xf>
    <xf numFmtId="166" fontId="5" fillId="0" borderId="99" xfId="4" applyNumberFormat="1" applyFont="1" applyBorder="1" applyAlignment="1" applyProtection="1">
      <alignment vertical="center"/>
    </xf>
    <xf numFmtId="166" fontId="5" fillId="0" borderId="86" xfId="4" applyNumberFormat="1" applyFont="1" applyBorder="1" applyAlignment="1" applyProtection="1">
      <alignment horizontal="center" vertical="center" wrapText="1"/>
    </xf>
    <xf numFmtId="166" fontId="5" fillId="0" borderId="85" xfId="4" applyNumberFormat="1" applyFont="1" applyBorder="1" applyAlignment="1" applyProtection="1">
      <alignment horizontal="center" vertical="center" wrapText="1"/>
    </xf>
    <xf numFmtId="41" fontId="10" fillId="0" borderId="0" xfId="4" applyNumberFormat="1" applyProtection="1"/>
    <xf numFmtId="41" fontId="10" fillId="0" borderId="61" xfId="4" applyNumberFormat="1" applyBorder="1" applyProtection="1"/>
    <xf numFmtId="41" fontId="10" fillId="4" borderId="59" xfId="4" applyNumberFormat="1" applyFill="1" applyBorder="1" applyAlignment="1" applyProtection="1">
      <alignment horizontal="center"/>
    </xf>
    <xf numFmtId="41" fontId="10" fillId="4" borderId="80" xfId="4" applyNumberFormat="1" applyFill="1" applyBorder="1" applyAlignment="1" applyProtection="1">
      <alignment horizontal="left"/>
    </xf>
    <xf numFmtId="41" fontId="10" fillId="4" borderId="114" xfId="5" applyNumberFormat="1" applyFill="1" applyBorder="1" applyProtection="1"/>
    <xf numFmtId="41" fontId="49" fillId="0" borderId="108" xfId="4" applyNumberFormat="1" applyFont="1" applyBorder="1" applyProtection="1"/>
    <xf numFmtId="41" fontId="5" fillId="4" borderId="54" xfId="4" applyNumberFormat="1" applyFont="1" applyFill="1" applyBorder="1" applyAlignment="1" applyProtection="1">
      <alignment horizontal="center"/>
    </xf>
    <xf numFmtId="41" fontId="10" fillId="4" borderId="118" xfId="4" applyNumberFormat="1" applyFill="1" applyBorder="1" applyProtection="1"/>
    <xf numFmtId="41" fontId="10" fillId="4" borderId="55" xfId="4" applyNumberFormat="1" applyFill="1" applyBorder="1" applyProtection="1"/>
    <xf numFmtId="41" fontId="5" fillId="0" borderId="24" xfId="4" applyNumberFormat="1" applyFont="1" applyBorder="1" applyProtection="1"/>
    <xf numFmtId="41" fontId="50" fillId="0" borderId="111" xfId="4" applyNumberFormat="1" applyFont="1" applyBorder="1" applyProtection="1"/>
    <xf numFmtId="41" fontId="50" fillId="0" borderId="56" xfId="4" applyNumberFormat="1" applyFont="1" applyBorder="1" applyProtection="1"/>
    <xf numFmtId="41" fontId="50" fillId="0" borderId="112" xfId="4" applyNumberFormat="1" applyFont="1" applyBorder="1" applyProtection="1"/>
    <xf numFmtId="41" fontId="10" fillId="4" borderId="113" xfId="5" applyNumberFormat="1" applyFill="1" applyBorder="1" applyAlignment="1" applyProtection="1">
      <alignment horizontal="center"/>
    </xf>
    <xf numFmtId="41" fontId="10" fillId="0" borderId="24" xfId="4" applyNumberFormat="1" applyBorder="1" applyProtection="1"/>
    <xf numFmtId="41" fontId="10" fillId="4" borderId="59" xfId="4" quotePrefix="1" applyNumberFormat="1" applyFill="1" applyBorder="1" applyAlignment="1" applyProtection="1">
      <alignment horizontal="center"/>
    </xf>
    <xf numFmtId="172" fontId="10" fillId="4" borderId="80" xfId="5" applyNumberFormat="1" applyFill="1" applyBorder="1" applyProtection="1"/>
    <xf numFmtId="173" fontId="10" fillId="4" borderId="119" xfId="5" applyNumberFormat="1" applyFill="1" applyBorder="1" applyProtection="1"/>
    <xf numFmtId="41" fontId="10" fillId="4" borderId="119" xfId="5" applyNumberFormat="1" applyFill="1" applyBorder="1" applyAlignment="1" applyProtection="1">
      <alignment horizontal="center"/>
    </xf>
    <xf numFmtId="166" fontId="10" fillId="0" borderId="0" xfId="5" applyNumberFormat="1" applyProtection="1"/>
    <xf numFmtId="166" fontId="5" fillId="4" borderId="0" xfId="4" applyNumberFormat="1" applyFont="1" applyFill="1" applyProtection="1"/>
    <xf numFmtId="43" fontId="10" fillId="0" borderId="0" xfId="4" applyNumberFormat="1" applyProtection="1"/>
    <xf numFmtId="0" fontId="41" fillId="0" borderId="0" xfId="9" applyFont="1" applyAlignment="1" applyProtection="1">
      <alignment vertical="center"/>
    </xf>
    <xf numFmtId="0" fontId="41" fillId="0" borderId="0" xfId="9" applyFont="1" applyProtection="1"/>
    <xf numFmtId="0" fontId="5" fillId="0" borderId="0" xfId="9" applyFont="1" applyAlignment="1" applyProtection="1">
      <alignment horizontal="center"/>
    </xf>
    <xf numFmtId="166" fontId="5" fillId="0" borderId="0" xfId="9" applyNumberFormat="1" applyFont="1" applyAlignment="1" applyProtection="1">
      <alignment horizontal="center"/>
    </xf>
    <xf numFmtId="0" fontId="27" fillId="0" borderId="4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0" fontId="27" fillId="0" borderId="0" xfId="0" quotePrefix="1" applyFont="1" applyAlignment="1">
      <alignment horizontal="left" vertical="center" wrapText="1"/>
    </xf>
    <xf numFmtId="0" fontId="1" fillId="0" borderId="0" xfId="0" applyFont="1">
      <alignment vertical="center"/>
    </xf>
    <xf numFmtId="0" fontId="5" fillId="6" borderId="136" xfId="0" applyFont="1" applyFill="1" applyBorder="1" applyAlignment="1">
      <alignment horizontal="center" vertical="center"/>
    </xf>
    <xf numFmtId="0" fontId="5" fillId="6" borderId="138" xfId="0" applyFont="1" applyFill="1" applyBorder="1" applyAlignment="1">
      <alignment horizontal="center" vertical="center"/>
    </xf>
    <xf numFmtId="0" fontId="5" fillId="6" borderId="124" xfId="0" applyFont="1" applyFill="1" applyBorder="1" applyAlignment="1">
      <alignment horizontal="left" vertical="center"/>
    </xf>
    <xf numFmtId="0" fontId="6" fillId="6" borderId="126" xfId="0" applyFont="1" applyFill="1" applyBorder="1" applyAlignment="1">
      <alignment horizontal="left" vertical="center"/>
    </xf>
    <xf numFmtId="168" fontId="54" fillId="6" borderId="18" xfId="0" applyNumberFormat="1" applyFont="1" applyFill="1" applyBorder="1" applyAlignment="1"/>
    <xf numFmtId="0" fontId="6" fillId="6" borderId="124" xfId="0" applyFont="1" applyFill="1" applyBorder="1" applyAlignment="1">
      <alignment horizontal="center" vertical="center"/>
    </xf>
    <xf numFmtId="0" fontId="6" fillId="6" borderId="125" xfId="0" applyFont="1" applyFill="1" applyBorder="1" applyAlignment="1">
      <alignment horizontal="left" vertical="center"/>
    </xf>
    <xf numFmtId="169" fontId="55" fillId="6" borderId="129" xfId="0" applyNumberFormat="1" applyFont="1" applyFill="1" applyBorder="1" applyAlignment="1">
      <alignment horizontal="right"/>
    </xf>
    <xf numFmtId="169" fontId="56" fillId="6" borderId="129" xfId="0" applyNumberFormat="1" applyFont="1" applyFill="1" applyBorder="1" applyAlignment="1">
      <alignment horizontal="right"/>
    </xf>
    <xf numFmtId="1" fontId="57" fillId="6" borderId="153" xfId="0" applyNumberFormat="1" applyFont="1" applyFill="1" applyBorder="1" applyAlignment="1"/>
    <xf numFmtId="169" fontId="56" fillId="6" borderId="156" xfId="0" applyNumberFormat="1" applyFont="1" applyFill="1" applyBorder="1" applyAlignment="1"/>
    <xf numFmtId="169" fontId="5" fillId="6" borderId="122" xfId="0" applyNumberFormat="1" applyFont="1" applyFill="1" applyBorder="1" applyAlignment="1"/>
    <xf numFmtId="166" fontId="5" fillId="6" borderId="11" xfId="0" applyNumberFormat="1" applyFont="1" applyFill="1" applyBorder="1" applyAlignment="1">
      <alignment horizontal="center"/>
    </xf>
    <xf numFmtId="3" fontId="58" fillId="6" borderId="0" xfId="0" applyNumberFormat="1" applyFont="1" applyFill="1" applyAlignment="1"/>
    <xf numFmtId="169" fontId="5" fillId="6" borderId="157" xfId="0" applyNumberFormat="1" applyFont="1" applyFill="1" applyBorder="1" applyAlignment="1">
      <alignment horizontal="right"/>
    </xf>
    <xf numFmtId="166" fontId="5" fillId="7" borderId="0" xfId="0" applyNumberFormat="1" applyFont="1" applyFill="1" applyAlignment="1"/>
    <xf numFmtId="0" fontId="5" fillId="7" borderId="0" xfId="0" applyFont="1" applyFill="1" applyAlignment="1">
      <alignment horizontal="left"/>
    </xf>
    <xf numFmtId="169" fontId="5" fillId="6" borderId="149" xfId="0" applyNumberFormat="1" applyFont="1" applyFill="1" applyBorder="1" applyAlignment="1">
      <alignment horizontal="right"/>
    </xf>
    <xf numFmtId="171" fontId="5" fillId="7" borderId="0" xfId="0" applyNumberFormat="1" applyFont="1" applyFill="1" applyAlignment="1"/>
    <xf numFmtId="43" fontId="5" fillId="7" borderId="0" xfId="0" applyNumberFormat="1" applyFont="1" applyFill="1" applyAlignment="1"/>
    <xf numFmtId="41" fontId="5" fillId="7" borderId="0" xfId="0" applyNumberFormat="1" applyFont="1" applyFill="1" applyAlignment="1"/>
    <xf numFmtId="0" fontId="54" fillId="6" borderId="0" xfId="0" applyFont="1" applyFill="1" applyAlignment="1">
      <alignment horizontal="left"/>
    </xf>
    <xf numFmtId="0" fontId="53" fillId="6" borderId="0" xfId="0" applyFont="1" applyFill="1" applyAlignment="1">
      <alignment horizontal="center"/>
    </xf>
    <xf numFmtId="0" fontId="59" fillId="6" borderId="0" xfId="0" applyFont="1" applyFill="1" applyAlignment="1"/>
    <xf numFmtId="0" fontId="23" fillId="0" borderId="17" xfId="0" applyFont="1" applyBorder="1" applyAlignment="1">
      <alignment horizontal="left" vertical="center" wrapText="1"/>
    </xf>
    <xf numFmtId="4" fontId="64" fillId="0" borderId="22" xfId="0" applyNumberFormat="1" applyFont="1" applyBorder="1" applyAlignment="1">
      <alignment horizontal="right" vertical="center" shrinkToFit="1"/>
    </xf>
    <xf numFmtId="0" fontId="66" fillId="0" borderId="22" xfId="0" applyFont="1" applyBorder="1" applyAlignment="1">
      <alignment horizontal="left" vertical="center" wrapText="1"/>
    </xf>
    <xf numFmtId="0" fontId="66" fillId="0" borderId="0" xfId="0" applyFont="1" applyAlignment="1">
      <alignment vertical="center" wrapText="1"/>
    </xf>
    <xf numFmtId="0" fontId="66" fillId="0" borderId="0" xfId="0" applyFont="1" applyAlignment="1">
      <alignment horizontal="right" vertical="center" wrapText="1"/>
    </xf>
    <xf numFmtId="0" fontId="67" fillId="0" borderId="0" xfId="0" applyFont="1" applyAlignment="1">
      <alignment horizontal="left" vertical="center"/>
    </xf>
    <xf numFmtId="0" fontId="66" fillId="0" borderId="20" xfId="0" applyFont="1" applyBorder="1" applyAlignment="1">
      <alignment vertical="center" wrapText="1"/>
    </xf>
    <xf numFmtId="0" fontId="68" fillId="0" borderId="0" xfId="0" applyFont="1" applyAlignment="1">
      <alignment horizontal="left" vertical="top"/>
    </xf>
    <xf numFmtId="0" fontId="66" fillId="0" borderId="0" xfId="0" applyFont="1" applyAlignment="1">
      <alignment horizontal="left" vertical="center" wrapText="1"/>
    </xf>
    <xf numFmtId="0" fontId="66" fillId="0" borderId="4" xfId="0" applyFont="1" applyBorder="1" applyAlignment="1">
      <alignment horizontal="center" vertical="center" wrapText="1"/>
    </xf>
    <xf numFmtId="0" fontId="66" fillId="0" borderId="17" xfId="0" applyFont="1" applyBorder="1" applyAlignment="1">
      <alignment horizontal="center" vertical="center" wrapText="1"/>
    </xf>
    <xf numFmtId="0" fontId="71" fillId="0" borderId="26" xfId="0" applyFont="1" applyBorder="1" applyAlignment="1">
      <alignment horizontal="left" vertical="center"/>
    </xf>
    <xf numFmtId="0" fontId="21" fillId="0" borderId="0" xfId="0" applyFont="1" applyAlignment="1">
      <alignment vertical="center" wrapText="1"/>
    </xf>
    <xf numFmtId="0" fontId="73" fillId="0" borderId="0" xfId="0" applyFont="1" applyAlignment="1">
      <alignment vertical="center" wrapText="1"/>
    </xf>
    <xf numFmtId="43" fontId="72" fillId="0" borderId="0" xfId="0" applyNumberFormat="1" applyFont="1" applyAlignment="1">
      <alignment vertical="center" wrapText="1"/>
    </xf>
    <xf numFmtId="0" fontId="70" fillId="0" borderId="0" xfId="0" applyFont="1" applyAlignment="1">
      <alignment horizontal="center" vertical="center" wrapText="1"/>
    </xf>
    <xf numFmtId="0" fontId="70" fillId="0" borderId="11" xfId="0" applyFont="1" applyBorder="1" applyAlignment="1">
      <alignment horizontal="center" vertical="center" wrapText="1"/>
    </xf>
    <xf numFmtId="1" fontId="74" fillId="0" borderId="11" xfId="0" applyNumberFormat="1" applyFont="1" applyBorder="1" applyAlignment="1">
      <alignment horizontal="center" vertical="center" shrinkToFit="1"/>
    </xf>
    <xf numFmtId="4" fontId="74" fillId="0" borderId="11" xfId="0" applyNumberFormat="1" applyFont="1" applyBorder="1" applyAlignment="1">
      <alignment horizontal="right" vertical="center" shrinkToFit="1"/>
    </xf>
    <xf numFmtId="4" fontId="75" fillId="0" borderId="22" xfId="0" applyNumberFormat="1" applyFont="1" applyBorder="1" applyAlignment="1">
      <alignment horizontal="right" vertical="center" shrinkToFit="1"/>
    </xf>
    <xf numFmtId="4" fontId="67" fillId="0" borderId="7" xfId="0" applyNumberFormat="1" applyFont="1" applyBorder="1" applyAlignment="1">
      <alignment horizontal="right" vertical="center" shrinkToFit="1"/>
    </xf>
    <xf numFmtId="4" fontId="67" fillId="0" borderId="1" xfId="0" applyNumberFormat="1" applyFont="1" applyBorder="1" applyAlignment="1">
      <alignment horizontal="right" vertical="center" shrinkToFit="1"/>
    </xf>
    <xf numFmtId="4" fontId="67" fillId="0" borderId="22" xfId="0" applyNumberFormat="1" applyFont="1" applyBorder="1" applyAlignment="1">
      <alignment horizontal="right" vertical="center" shrinkToFit="1"/>
    </xf>
    <xf numFmtId="4" fontId="67" fillId="0" borderId="45" xfId="0" applyNumberFormat="1" applyFont="1" applyBorder="1" applyAlignment="1">
      <alignment horizontal="right" vertical="center" shrinkToFit="1"/>
    </xf>
    <xf numFmtId="4" fontId="67" fillId="0" borderId="48" xfId="0" applyNumberFormat="1" applyFont="1" applyBorder="1" applyAlignment="1">
      <alignment horizontal="right" vertical="center" shrinkToFit="1"/>
    </xf>
    <xf numFmtId="4" fontId="75" fillId="0" borderId="48" xfId="0" applyNumberFormat="1" applyFont="1" applyBorder="1" applyAlignment="1">
      <alignment horizontal="right" vertical="center" shrinkToFit="1"/>
    </xf>
    <xf numFmtId="4" fontId="74" fillId="0" borderId="3" xfId="0" applyNumberFormat="1" applyFont="1" applyBorder="1" applyAlignment="1">
      <alignment horizontal="right" vertical="center" shrinkToFit="1"/>
    </xf>
    <xf numFmtId="0" fontId="67" fillId="0" borderId="0" xfId="0" applyFont="1" applyAlignment="1">
      <alignment horizontal="left" vertical="top"/>
    </xf>
    <xf numFmtId="0" fontId="67" fillId="0" borderId="17" xfId="0" applyFont="1" applyBorder="1" applyAlignment="1">
      <alignment vertical="center" wrapText="1"/>
    </xf>
    <xf numFmtId="49" fontId="76" fillId="0" borderId="0" xfId="0" applyNumberFormat="1" applyFont="1" applyAlignment="1">
      <alignment horizontal="center" vertical="center" wrapText="1"/>
    </xf>
    <xf numFmtId="0" fontId="71" fillId="0" borderId="24" xfId="0" applyFont="1" applyBorder="1" applyAlignment="1">
      <alignment horizontal="center" vertical="center"/>
    </xf>
    <xf numFmtId="43" fontId="67" fillId="0" borderId="0" xfId="2" applyFont="1" applyAlignment="1" applyProtection="1">
      <alignment vertical="top"/>
    </xf>
    <xf numFmtId="0" fontId="66" fillId="0" borderId="21" xfId="0" applyFont="1" applyBorder="1" applyAlignment="1">
      <alignment horizontal="center" vertical="center" wrapText="1"/>
    </xf>
    <xf numFmtId="166" fontId="78" fillId="0" borderId="0" xfId="4" applyNumberFormat="1" applyFont="1" applyAlignment="1" applyProtection="1">
      <alignment horizontal="left"/>
    </xf>
    <xf numFmtId="171" fontId="79" fillId="0" borderId="0" xfId="4" applyNumberFormat="1" applyFont="1" applyProtection="1"/>
    <xf numFmtId="0" fontId="23" fillId="0" borderId="0" xfId="0" applyFont="1" applyAlignment="1">
      <alignment horizontal="left" vertical="center" wrapText="1"/>
    </xf>
    <xf numFmtId="0" fontId="66" fillId="0" borderId="0" xfId="0" quotePrefix="1" applyFont="1" applyAlignment="1">
      <alignment horizontal="left" vertical="center" wrapText="1"/>
    </xf>
    <xf numFmtId="0" fontId="72" fillId="0" borderId="0" xfId="0" applyFont="1">
      <alignment vertical="center"/>
    </xf>
    <xf numFmtId="175" fontId="21" fillId="0" borderId="0" xfId="0" applyNumberFormat="1" applyFont="1" applyAlignment="1">
      <alignment horizontal="center" vertical="center" wrapText="1"/>
    </xf>
    <xf numFmtId="175" fontId="23" fillId="0" borderId="6" xfId="0" applyNumberFormat="1" applyFont="1" applyBorder="1" applyAlignment="1">
      <alignment horizontal="center" vertical="center" wrapText="1"/>
    </xf>
    <xf numFmtId="175" fontId="18" fillId="0" borderId="11" xfId="0" applyNumberFormat="1" applyFont="1" applyBorder="1" applyAlignment="1">
      <alignment horizontal="center" vertical="center" shrinkToFit="1"/>
    </xf>
    <xf numFmtId="175" fontId="1" fillId="0" borderId="11" xfId="0" applyNumberFormat="1" applyFont="1" applyBorder="1" applyAlignment="1">
      <alignment vertical="center" wrapText="1"/>
    </xf>
    <xf numFmtId="175" fontId="1" fillId="0" borderId="22" xfId="0" applyNumberFormat="1" applyFont="1" applyBorder="1" applyAlignment="1">
      <alignment vertical="center" wrapText="1"/>
    </xf>
    <xf numFmtId="175" fontId="1" fillId="0" borderId="7" xfId="0" applyNumberFormat="1" applyFont="1" applyBorder="1" applyAlignment="1">
      <alignment vertical="center" wrapText="1"/>
    </xf>
    <xf numFmtId="175" fontId="1" fillId="0" borderId="11" xfId="0" applyNumberFormat="1" applyFont="1" applyBorder="1" applyAlignment="1">
      <alignment horizontal="left" vertical="center" wrapText="1"/>
    </xf>
    <xf numFmtId="175" fontId="1" fillId="0" borderId="3" xfId="0" applyNumberFormat="1" applyFont="1" applyBorder="1" applyAlignment="1">
      <alignment horizontal="left" vertical="center" wrapText="1"/>
    </xf>
    <xf numFmtId="175" fontId="1" fillId="0" borderId="0" xfId="0" applyNumberFormat="1" applyFont="1" applyAlignment="1">
      <alignment horizontal="left" vertical="top"/>
    </xf>
    <xf numFmtId="0" fontId="66" fillId="0" borderId="17" xfId="0" applyFont="1" applyBorder="1" applyAlignment="1">
      <alignment horizontal="left" vertical="center" wrapText="1"/>
    </xf>
    <xf numFmtId="0" fontId="23" fillId="0" borderId="3" xfId="0" applyFont="1" applyBorder="1" applyAlignment="1">
      <alignment vertical="center" wrapText="1"/>
    </xf>
    <xf numFmtId="175" fontId="1" fillId="0" borderId="7" xfId="0" applyNumberFormat="1" applyFont="1" applyBorder="1" applyAlignment="1">
      <alignment horizontal="left" vertical="center" wrapText="1"/>
    </xf>
    <xf numFmtId="175" fontId="23" fillId="0" borderId="11" xfId="0" applyNumberFormat="1" applyFont="1" applyBorder="1" applyAlignment="1">
      <alignment horizontal="center" vertical="center" wrapText="1"/>
    </xf>
    <xf numFmtId="175" fontId="18" fillId="0" borderId="11" xfId="0" applyNumberFormat="1" applyFont="1" applyBorder="1" applyAlignment="1">
      <alignment horizontal="right" vertical="center" shrinkToFit="1"/>
    </xf>
    <xf numFmtId="175" fontId="18" fillId="0" borderId="22" xfId="0" applyNumberFormat="1" applyFont="1" applyBorder="1" applyAlignment="1">
      <alignment horizontal="right" vertical="center" shrinkToFit="1"/>
    </xf>
    <xf numFmtId="175" fontId="25" fillId="0" borderId="22" xfId="0" applyNumberFormat="1" applyFont="1" applyBorder="1" applyAlignment="1">
      <alignment horizontal="right" vertical="center" shrinkToFit="1"/>
    </xf>
    <xf numFmtId="175" fontId="16" fillId="0" borderId="7" xfId="0" applyNumberFormat="1" applyFont="1" applyBorder="1" applyAlignment="1">
      <alignment horizontal="right" vertical="center" shrinkToFit="1"/>
    </xf>
    <xf numFmtId="175" fontId="64" fillId="0" borderId="22" xfId="0" applyNumberFormat="1" applyFont="1" applyBorder="1" applyAlignment="1">
      <alignment horizontal="right" vertical="center" shrinkToFit="1"/>
    </xf>
    <xf numFmtId="175" fontId="18" fillId="0" borderId="7" xfId="0" applyNumberFormat="1" applyFont="1" applyBorder="1" applyAlignment="1">
      <alignment horizontal="right" vertical="center" shrinkToFit="1"/>
    </xf>
    <xf numFmtId="175" fontId="18" fillId="0" borderId="3" xfId="0" applyNumberFormat="1" applyFont="1" applyBorder="1" applyAlignment="1">
      <alignment horizontal="right" vertical="center" shrinkToFit="1"/>
    </xf>
    <xf numFmtId="0" fontId="2" fillId="0" borderId="5" xfId="1" applyFont="1" applyBorder="1" applyAlignment="1" applyProtection="1">
      <alignment horizontal="center" vertical="center" wrapText="1"/>
    </xf>
    <xf numFmtId="0" fontId="2" fillId="0" borderId="6" xfId="1" applyFont="1" applyBorder="1" applyAlignment="1" applyProtection="1">
      <alignment horizontal="center" vertical="center" wrapText="1"/>
    </xf>
    <xf numFmtId="0" fontId="8" fillId="0" borderId="5" xfId="1" applyFont="1" applyBorder="1" applyAlignment="1" applyProtection="1">
      <alignment horizontal="center" vertical="center" wrapText="1"/>
    </xf>
    <xf numFmtId="0" fontId="8" fillId="0" borderId="6" xfId="1" applyFont="1" applyBorder="1" applyAlignment="1" applyProtection="1">
      <alignment horizontal="center" vertical="center" wrapText="1"/>
    </xf>
    <xf numFmtId="0" fontId="2" fillId="0" borderId="10" xfId="1" applyFont="1" applyBorder="1" applyAlignment="1" applyProtection="1">
      <alignment vertical="center" wrapText="1"/>
    </xf>
    <xf numFmtId="0" fontId="2" fillId="0" borderId="6" xfId="1" applyFont="1" applyBorder="1" applyAlignment="1" applyProtection="1">
      <alignment vertical="center" wrapText="1"/>
    </xf>
    <xf numFmtId="0" fontId="10" fillId="0" borderId="16" xfId="1" applyFont="1" applyBorder="1" applyAlignment="1" applyProtection="1">
      <alignment horizontal="center" vertical="center" wrapText="1"/>
    </xf>
    <xf numFmtId="0" fontId="10" fillId="0" borderId="0" xfId="1" applyFont="1" applyAlignment="1" applyProtection="1">
      <alignment horizontal="center" vertical="center" wrapText="1"/>
    </xf>
    <xf numFmtId="0" fontId="2" fillId="0" borderId="2" xfId="1" applyFont="1" applyBorder="1" applyAlignment="1" applyProtection="1">
      <alignment horizontal="center" vertical="center" wrapText="1"/>
    </xf>
    <xf numFmtId="0" fontId="2" fillId="0" borderId="4" xfId="1" applyFont="1" applyBorder="1" applyAlignment="1" applyProtection="1">
      <alignment horizontal="center" vertical="center" wrapText="1"/>
    </xf>
    <xf numFmtId="0" fontId="2" fillId="0" borderId="2" xfId="1" applyFont="1" applyBorder="1" applyAlignment="1" applyProtection="1">
      <alignment vertical="center" wrapText="1"/>
    </xf>
    <xf numFmtId="0" fontId="2" fillId="0" borderId="4" xfId="1" applyFont="1" applyBorder="1" applyAlignment="1" applyProtection="1">
      <alignment vertical="center" wrapText="1"/>
    </xf>
    <xf numFmtId="0" fontId="8" fillId="0" borderId="8" xfId="1" applyFont="1" applyBorder="1" applyAlignment="1" applyProtection="1">
      <alignment horizontal="center" vertical="center" wrapText="1"/>
    </xf>
    <xf numFmtId="0" fontId="8" fillId="0" borderId="10" xfId="1" applyFont="1" applyBorder="1" applyAlignment="1" applyProtection="1">
      <alignment vertical="center" wrapText="1"/>
    </xf>
    <xf numFmtId="0" fontId="41" fillId="3" borderId="0" xfId="0" applyFont="1" applyFill="1">
      <alignment vertical="center"/>
    </xf>
    <xf numFmtId="0" fontId="41" fillId="3" borderId="0" xfId="0" applyFont="1" applyFill="1" applyAlignment="1">
      <alignment horizontal="left" vertical="center"/>
    </xf>
    <xf numFmtId="0" fontId="44" fillId="3" borderId="54" xfId="0" applyFont="1" applyFill="1" applyBorder="1" applyAlignment="1">
      <alignment horizontal="left" vertical="center"/>
    </xf>
    <xf numFmtId="0" fontId="41" fillId="3" borderId="55" xfId="0" applyFont="1" applyFill="1" applyBorder="1" applyAlignment="1">
      <alignment horizontal="left" vertical="center"/>
    </xf>
    <xf numFmtId="0" fontId="41" fillId="3" borderId="55" xfId="0" applyFont="1" applyFill="1" applyBorder="1">
      <alignment vertical="center"/>
    </xf>
    <xf numFmtId="168" fontId="41" fillId="3" borderId="56" xfId="0" applyNumberFormat="1" applyFont="1" applyFill="1" applyBorder="1">
      <alignment vertical="center"/>
    </xf>
    <xf numFmtId="0" fontId="41" fillId="3" borderId="56" xfId="0" applyFont="1" applyFill="1" applyBorder="1">
      <alignment vertical="center"/>
    </xf>
    <xf numFmtId="0" fontId="44" fillId="3" borderId="57" xfId="0" applyFont="1" applyFill="1" applyBorder="1" applyAlignment="1">
      <alignment horizontal="center" vertical="center"/>
    </xf>
    <xf numFmtId="0" fontId="9" fillId="3" borderId="54" xfId="0" applyFont="1" applyFill="1" applyBorder="1">
      <alignment vertical="center"/>
    </xf>
    <xf numFmtId="0" fontId="9" fillId="3" borderId="55" xfId="0" applyFont="1" applyFill="1" applyBorder="1" applyAlignment="1">
      <alignment horizontal="left" vertical="center"/>
    </xf>
    <xf numFmtId="0" fontId="9" fillId="3" borderId="55" xfId="0" applyFont="1" applyFill="1" applyBorder="1">
      <alignment vertical="center"/>
    </xf>
    <xf numFmtId="37" fontId="44" fillId="3" borderId="55" xfId="0" applyNumberFormat="1" applyFont="1" applyFill="1" applyBorder="1">
      <alignment vertical="center"/>
    </xf>
    <xf numFmtId="0" fontId="44" fillId="3" borderId="55" xfId="0" applyFont="1" applyFill="1" applyBorder="1">
      <alignment vertical="center"/>
    </xf>
    <xf numFmtId="37" fontId="9" fillId="3" borderId="58" xfId="0" applyNumberFormat="1" applyFont="1" applyFill="1" applyBorder="1">
      <alignment vertical="center"/>
    </xf>
    <xf numFmtId="0" fontId="41" fillId="3" borderId="59" xfId="1" applyFont="1" applyFill="1" applyBorder="1" applyAlignment="1" applyProtection="1">
      <alignment horizontal="center"/>
    </xf>
    <xf numFmtId="0" fontId="41" fillId="3" borderId="67" xfId="0" applyFont="1" applyFill="1" applyBorder="1">
      <alignment vertical="center"/>
    </xf>
    <xf numFmtId="0" fontId="41" fillId="3" borderId="20" xfId="0" applyFont="1" applyFill="1" applyBorder="1">
      <alignment vertical="center"/>
    </xf>
    <xf numFmtId="0" fontId="41" fillId="3" borderId="31" xfId="0" applyFont="1" applyFill="1" applyBorder="1">
      <alignment vertical="center"/>
    </xf>
    <xf numFmtId="168" fontId="41" fillId="3" borderId="31" xfId="0" applyNumberFormat="1" applyFont="1" applyFill="1" applyBorder="1">
      <alignment vertical="center"/>
    </xf>
    <xf numFmtId="0" fontId="44" fillId="3" borderId="31" xfId="0" applyFont="1" applyFill="1" applyBorder="1" applyAlignment="1">
      <alignment horizontal="right" vertical="center"/>
    </xf>
    <xf numFmtId="37" fontId="44" fillId="8" borderId="68" xfId="0" applyNumberFormat="1" applyFont="1" applyFill="1" applyBorder="1">
      <alignment vertical="center"/>
    </xf>
    <xf numFmtId="0" fontId="44" fillId="3" borderId="69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horizontal="left" vertical="center"/>
    </xf>
    <xf numFmtId="0" fontId="41" fillId="3" borderId="70" xfId="0" applyFont="1" applyFill="1" applyBorder="1">
      <alignment vertical="center"/>
    </xf>
    <xf numFmtId="168" fontId="41" fillId="3" borderId="70" xfId="0" applyNumberFormat="1" applyFont="1" applyFill="1" applyBorder="1">
      <alignment vertical="center"/>
    </xf>
    <xf numFmtId="37" fontId="41" fillId="3" borderId="71" xfId="0" applyNumberFormat="1" applyFont="1" applyFill="1" applyBorder="1">
      <alignment vertical="center"/>
    </xf>
    <xf numFmtId="43" fontId="41" fillId="3" borderId="55" xfId="3" applyFont="1" applyFill="1" applyBorder="1" applyAlignment="1" applyProtection="1">
      <alignment horizontal="center" vertical="center"/>
    </xf>
    <xf numFmtId="37" fontId="44" fillId="3" borderId="60" xfId="0" applyNumberFormat="1" applyFont="1" applyFill="1" applyBorder="1">
      <alignment vertical="center"/>
    </xf>
    <xf numFmtId="0" fontId="41" fillId="3" borderId="59" xfId="0" applyFont="1" applyFill="1" applyBorder="1" applyAlignment="1">
      <alignment horizontal="center" vertical="center"/>
    </xf>
    <xf numFmtId="0" fontId="82" fillId="8" borderId="60" xfId="0" applyFont="1" applyFill="1" applyBorder="1">
      <alignment vertical="center"/>
    </xf>
    <xf numFmtId="0" fontId="44" fillId="3" borderId="72" xfId="0" applyFont="1" applyFill="1" applyBorder="1">
      <alignment vertical="center"/>
    </xf>
    <xf numFmtId="166" fontId="82" fillId="8" borderId="60" xfId="3" applyNumberFormat="1" applyFont="1" applyFill="1" applyBorder="1" applyAlignment="1" applyProtection="1">
      <alignment horizontal="right" vertical="center"/>
    </xf>
    <xf numFmtId="0" fontId="82" fillId="8" borderId="61" xfId="0" applyFont="1" applyFill="1" applyBorder="1">
      <alignment vertical="center"/>
    </xf>
    <xf numFmtId="37" fontId="41" fillId="3" borderId="61" xfId="3" applyNumberFormat="1" applyFont="1" applyFill="1" applyBorder="1" applyAlignment="1" applyProtection="1">
      <alignment vertical="center"/>
    </xf>
    <xf numFmtId="0" fontId="41" fillId="3" borderId="73" xfId="0" applyFont="1" applyFill="1" applyBorder="1" applyAlignment="1">
      <alignment horizontal="center" vertical="center"/>
    </xf>
    <xf numFmtId="0" fontId="82" fillId="8" borderId="64" xfId="0" applyFont="1" applyFill="1" applyBorder="1">
      <alignment vertical="center"/>
    </xf>
    <xf numFmtId="0" fontId="44" fillId="3" borderId="74" xfId="0" applyFont="1" applyFill="1" applyBorder="1">
      <alignment vertical="center"/>
    </xf>
    <xf numFmtId="166" fontId="82" fillId="8" borderId="64" xfId="3" applyNumberFormat="1" applyFont="1" applyFill="1" applyBorder="1" applyAlignment="1" applyProtection="1">
      <alignment horizontal="right" vertical="center"/>
    </xf>
    <xf numFmtId="0" fontId="82" fillId="8" borderId="66" xfId="0" applyFont="1" applyFill="1" applyBorder="1">
      <alignment vertical="center"/>
    </xf>
    <xf numFmtId="37" fontId="41" fillId="3" borderId="66" xfId="3" applyNumberFormat="1" applyFont="1" applyFill="1" applyBorder="1" applyAlignment="1" applyProtection="1">
      <alignment vertical="center"/>
    </xf>
    <xf numFmtId="0" fontId="41" fillId="3" borderId="75" xfId="0" applyFont="1" applyFill="1" applyBorder="1">
      <alignment vertical="center"/>
    </xf>
    <xf numFmtId="168" fontId="41" fillId="3" borderId="76" xfId="0" applyNumberFormat="1" applyFont="1" applyFill="1" applyBorder="1">
      <alignment vertical="center"/>
    </xf>
    <xf numFmtId="0" fontId="41" fillId="3" borderId="76" xfId="0" applyFont="1" applyFill="1" applyBorder="1">
      <alignment vertical="center"/>
    </xf>
    <xf numFmtId="0" fontId="41" fillId="3" borderId="77" xfId="0" applyFont="1" applyFill="1" applyBorder="1">
      <alignment vertical="center"/>
    </xf>
    <xf numFmtId="37" fontId="41" fillId="8" borderId="78" xfId="0" applyNumberFormat="1" applyFont="1" applyFill="1" applyBorder="1">
      <alignment vertical="center"/>
    </xf>
    <xf numFmtId="0" fontId="41" fillId="3" borderId="60" xfId="0" applyFont="1" applyFill="1" applyBorder="1">
      <alignment vertical="center"/>
    </xf>
    <xf numFmtId="0" fontId="41" fillId="3" borderId="72" xfId="0" applyFont="1" applyFill="1" applyBorder="1">
      <alignment vertical="center"/>
    </xf>
    <xf numFmtId="37" fontId="41" fillId="3" borderId="61" xfId="0" applyNumberFormat="1" applyFont="1" applyFill="1" applyBorder="1">
      <alignment vertical="center"/>
    </xf>
    <xf numFmtId="0" fontId="41" fillId="3" borderId="61" xfId="0" applyFont="1" applyFill="1" applyBorder="1" applyAlignment="1">
      <alignment horizontal="center" vertical="center"/>
    </xf>
    <xf numFmtId="41" fontId="41" fillId="3" borderId="62" xfId="11" applyFont="1" applyFill="1" applyBorder="1" applyAlignment="1">
      <alignment vertical="center"/>
    </xf>
    <xf numFmtId="37" fontId="41" fillId="8" borderId="79" xfId="0" applyNumberFormat="1" applyFont="1" applyFill="1" applyBorder="1">
      <alignment vertical="center"/>
    </xf>
    <xf numFmtId="1" fontId="46" fillId="3" borderId="31" xfId="12" applyNumberFormat="1" applyFont="1" applyFill="1" applyBorder="1" applyAlignment="1">
      <alignment vertical="center"/>
    </xf>
    <xf numFmtId="0" fontId="46" fillId="3" borderId="31" xfId="0" applyFont="1" applyFill="1" applyBorder="1">
      <alignment vertical="center"/>
    </xf>
    <xf numFmtId="0" fontId="6" fillId="3" borderId="54" xfId="0" applyFont="1" applyFill="1" applyBorder="1">
      <alignment vertical="center"/>
    </xf>
    <xf numFmtId="0" fontId="82" fillId="8" borderId="80" xfId="0" applyFont="1" applyFill="1" applyBorder="1">
      <alignment vertical="center"/>
    </xf>
    <xf numFmtId="0" fontId="82" fillId="8" borderId="55" xfId="0" applyFont="1" applyFill="1" applyBorder="1">
      <alignment vertical="center"/>
    </xf>
    <xf numFmtId="0" fontId="82" fillId="8" borderId="76" xfId="0" applyFont="1" applyFill="1" applyBorder="1">
      <alignment vertical="center"/>
    </xf>
    <xf numFmtId="166" fontId="82" fillId="8" borderId="77" xfId="3" applyNumberFormat="1" applyFont="1" applyFill="1" applyBorder="1" applyAlignment="1" applyProtection="1">
      <alignment vertical="center"/>
    </xf>
    <xf numFmtId="37" fontId="41" fillId="8" borderId="57" xfId="0" applyNumberFormat="1" applyFont="1" applyFill="1" applyBorder="1">
      <alignment vertical="center"/>
    </xf>
    <xf numFmtId="0" fontId="9" fillId="2" borderId="54" xfId="0" applyFont="1" applyFill="1" applyBorder="1" applyAlignment="1">
      <alignment horizontal="left" vertical="center"/>
    </xf>
    <xf numFmtId="0" fontId="9" fillId="2" borderId="80" xfId="0" applyFont="1" applyFill="1" applyBorder="1" applyAlignment="1"/>
    <xf numFmtId="0" fontId="44" fillId="2" borderId="55" xfId="0" applyFont="1" applyFill="1" applyBorder="1" applyAlignment="1">
      <alignment horizontal="left" vertical="center" indent="1"/>
    </xf>
    <xf numFmtId="37" fontId="44" fillId="2" borderId="76" xfId="0" applyNumberFormat="1" applyFont="1" applyFill="1" applyBorder="1" applyAlignment="1">
      <alignment horizontal="right" vertical="center"/>
    </xf>
    <xf numFmtId="0" fontId="41" fillId="2" borderId="76" xfId="0" applyFont="1" applyFill="1" applyBorder="1" applyAlignment="1">
      <alignment horizontal="center" vertical="center"/>
    </xf>
    <xf numFmtId="166" fontId="41" fillId="2" borderId="77" xfId="3" applyNumberFormat="1" applyFont="1" applyFill="1" applyBorder="1" applyAlignment="1" applyProtection="1">
      <alignment horizontal="right" vertical="center" indent="1"/>
    </xf>
    <xf numFmtId="37" fontId="9" fillId="2" borderId="57" xfId="0" applyNumberFormat="1" applyFont="1" applyFill="1" applyBorder="1" applyAlignment="1"/>
    <xf numFmtId="0" fontId="41" fillId="2" borderId="54" xfId="0" applyFont="1" applyFill="1" applyBorder="1" applyAlignment="1">
      <alignment horizontal="center" vertical="center"/>
    </xf>
    <xf numFmtId="0" fontId="41" fillId="2" borderId="80" xfId="0" applyFont="1" applyFill="1" applyBorder="1" applyAlignment="1"/>
    <xf numFmtId="37" fontId="41" fillId="2" borderId="76" xfId="0" applyNumberFormat="1" applyFont="1" applyFill="1" applyBorder="1" applyAlignment="1">
      <alignment horizontal="right" vertical="center"/>
    </xf>
    <xf numFmtId="37" fontId="41" fillId="3" borderId="77" xfId="3" applyNumberFormat="1" applyFont="1" applyFill="1" applyBorder="1" applyAlignment="1" applyProtection="1">
      <alignment vertical="center"/>
    </xf>
    <xf numFmtId="37" fontId="41" fillId="3" borderId="79" xfId="3" applyNumberFormat="1" applyFont="1" applyFill="1" applyBorder="1" applyAlignment="1" applyProtection="1">
      <alignment vertical="center"/>
    </xf>
    <xf numFmtId="37" fontId="41" fillId="3" borderId="81" xfId="3" applyNumberFormat="1" applyFont="1" applyFill="1" applyBorder="1" applyAlignment="1" applyProtection="1">
      <alignment vertical="center"/>
    </xf>
    <xf numFmtId="37" fontId="44" fillId="2" borderId="60" xfId="0" applyNumberFormat="1" applyFont="1" applyFill="1" applyBorder="1" applyAlignment="1">
      <alignment horizontal="right" vertical="center"/>
    </xf>
    <xf numFmtId="166" fontId="41" fillId="2" borderId="76" xfId="3" applyNumberFormat="1" applyFont="1" applyFill="1" applyBorder="1" applyAlignment="1" applyProtection="1">
      <alignment horizontal="right" vertical="center" indent="1"/>
    </xf>
    <xf numFmtId="37" fontId="9" fillId="3" borderId="63" xfId="0" applyNumberFormat="1" applyFont="1" applyFill="1" applyBorder="1" applyAlignment="1">
      <alignment horizontal="right" vertical="center"/>
    </xf>
    <xf numFmtId="0" fontId="41" fillId="2" borderId="55" xfId="0" applyFont="1" applyFill="1" applyBorder="1" applyAlignment="1">
      <alignment horizontal="left" vertical="center" indent="1"/>
    </xf>
    <xf numFmtId="0" fontId="4" fillId="2" borderId="85" xfId="0" applyFont="1" applyFill="1" applyBorder="1">
      <alignment vertical="center"/>
    </xf>
    <xf numFmtId="0" fontId="4" fillId="2" borderId="86" xfId="0" applyFont="1" applyFill="1" applyBorder="1">
      <alignment vertical="center"/>
    </xf>
    <xf numFmtId="37" fontId="4" fillId="2" borderId="86" xfId="0" applyNumberFormat="1" applyFont="1" applyFill="1" applyBorder="1">
      <alignment vertical="center"/>
    </xf>
    <xf numFmtId="166" fontId="4" fillId="2" borderId="86" xfId="0" applyNumberFormat="1" applyFont="1" applyFill="1" applyBorder="1">
      <alignment vertical="center"/>
    </xf>
    <xf numFmtId="0" fontId="4" fillId="2" borderId="86" xfId="0" applyFont="1" applyFill="1" applyBorder="1" applyAlignment="1">
      <alignment horizontal="right" vertical="center"/>
    </xf>
    <xf numFmtId="166" fontId="4" fillId="2" borderId="87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42" fillId="3" borderId="0" xfId="13" applyFont="1" applyFill="1" applyAlignment="1">
      <alignment vertical="center"/>
    </xf>
    <xf numFmtId="0" fontId="41" fillId="3" borderId="0" xfId="13" applyFont="1" applyFill="1" applyAlignment="1">
      <alignment vertical="center"/>
    </xf>
    <xf numFmtId="0" fontId="10" fillId="2" borderId="0" xfId="13"/>
    <xf numFmtId="0" fontId="10" fillId="3" borderId="0" xfId="14" applyFill="1" applyAlignment="1">
      <alignment horizontal="right"/>
    </xf>
    <xf numFmtId="0" fontId="10" fillId="3" borderId="0" xfId="14" applyFill="1" applyAlignment="1">
      <alignment horizontal="left" indent="1"/>
    </xf>
    <xf numFmtId="0" fontId="41" fillId="3" borderId="0" xfId="13" applyFont="1" applyFill="1" applyAlignment="1">
      <alignment horizontal="left" vertical="center"/>
    </xf>
    <xf numFmtId="0" fontId="41" fillId="2" borderId="0" xfId="13" applyFont="1" applyAlignment="1">
      <alignment vertical="center"/>
    </xf>
    <xf numFmtId="0" fontId="10" fillId="3" borderId="0" xfId="14" applyFill="1"/>
    <xf numFmtId="0" fontId="44" fillId="3" borderId="54" xfId="13" applyFont="1" applyFill="1" applyBorder="1" applyAlignment="1">
      <alignment horizontal="left" vertical="center"/>
    </xf>
    <xf numFmtId="0" fontId="41" fillId="3" borderId="55" xfId="13" applyFont="1" applyFill="1" applyBorder="1" applyAlignment="1">
      <alignment horizontal="left" vertical="center"/>
    </xf>
    <xf numFmtId="0" fontId="41" fillId="3" borderId="55" xfId="13" applyFont="1" applyFill="1" applyBorder="1" applyAlignment="1">
      <alignment vertical="center"/>
    </xf>
    <xf numFmtId="168" fontId="41" fillId="3" borderId="56" xfId="13" applyNumberFormat="1" applyFont="1" applyFill="1" applyBorder="1" applyAlignment="1">
      <alignment vertical="center"/>
    </xf>
    <xf numFmtId="0" fontId="41" fillId="3" borderId="56" xfId="13" applyFont="1" applyFill="1" applyBorder="1" applyAlignment="1">
      <alignment vertical="center"/>
    </xf>
    <xf numFmtId="0" fontId="5" fillId="3" borderId="76" xfId="13" applyFont="1" applyFill="1" applyBorder="1" applyAlignment="1">
      <alignment vertical="center"/>
    </xf>
    <xf numFmtId="0" fontId="5" fillId="3" borderId="77" xfId="13" applyFont="1" applyFill="1" applyBorder="1" applyAlignment="1">
      <alignment vertical="center"/>
    </xf>
    <xf numFmtId="0" fontId="44" fillId="3" borderId="57" xfId="13" applyFont="1" applyFill="1" applyBorder="1" applyAlignment="1">
      <alignment horizontal="center" vertical="center"/>
    </xf>
    <xf numFmtId="0" fontId="9" fillId="3" borderId="54" xfId="13" applyFont="1" applyFill="1" applyBorder="1" applyAlignment="1">
      <alignment vertical="center"/>
    </xf>
    <xf numFmtId="0" fontId="9" fillId="3" borderId="0" xfId="13" applyFont="1" applyFill="1" applyAlignment="1">
      <alignment horizontal="left" vertical="center"/>
    </xf>
    <xf numFmtId="0" fontId="9" fillId="3" borderId="55" xfId="13" applyFont="1" applyFill="1" applyBorder="1" applyAlignment="1">
      <alignment vertical="center"/>
    </xf>
    <xf numFmtId="37" fontId="44" fillId="3" borderId="55" xfId="13" applyNumberFormat="1" applyFont="1" applyFill="1" applyBorder="1" applyAlignment="1">
      <alignment vertical="center"/>
    </xf>
    <xf numFmtId="0" fontId="44" fillId="3" borderId="55" xfId="13" applyFont="1" applyFill="1" applyBorder="1" applyAlignment="1">
      <alignment vertical="center"/>
    </xf>
    <xf numFmtId="37" fontId="6" fillId="3" borderId="61" xfId="13" applyNumberFormat="1" applyFont="1" applyFill="1" applyBorder="1" applyAlignment="1">
      <alignment vertical="center"/>
    </xf>
    <xf numFmtId="37" fontId="6" fillId="3" borderId="55" xfId="13" applyNumberFormat="1" applyFont="1" applyFill="1" applyBorder="1" applyAlignment="1">
      <alignment vertical="center"/>
    </xf>
    <xf numFmtId="37" fontId="9" fillId="3" borderId="58" xfId="13" applyNumberFormat="1" applyFont="1" applyFill="1" applyBorder="1" applyAlignment="1">
      <alignment vertical="center"/>
    </xf>
    <xf numFmtId="166" fontId="0" fillId="2" borderId="0" xfId="15" applyNumberFormat="1" applyFont="1"/>
    <xf numFmtId="0" fontId="41" fillId="3" borderId="59" xfId="14" applyFont="1" applyFill="1" applyBorder="1" applyAlignment="1">
      <alignment horizontal="center"/>
    </xf>
    <xf numFmtId="0" fontId="3" fillId="8" borderId="0" xfId="13" applyFont="1" applyFill="1"/>
    <xf numFmtId="0" fontId="41" fillId="3" borderId="60" xfId="16" applyFont="1" applyFill="1" applyBorder="1" applyAlignment="1">
      <alignment vertical="center"/>
    </xf>
    <xf numFmtId="170" fontId="41" fillId="8" borderId="61" xfId="17" applyNumberFormat="1" applyFont="1" applyFill="1" applyBorder="1" applyAlignment="1">
      <alignment horizontal="right"/>
    </xf>
    <xf numFmtId="0" fontId="41" fillId="8" borderId="60" xfId="17" applyFont="1" applyFill="1" applyBorder="1" applyAlignment="1">
      <alignment horizontal="center"/>
    </xf>
    <xf numFmtId="41" fontId="41" fillId="8" borderId="61" xfId="17" applyNumberFormat="1" applyFont="1" applyFill="1" applyBorder="1"/>
    <xf numFmtId="41" fontId="10" fillId="2" borderId="76" xfId="18" applyBorder="1" applyAlignment="1">
      <alignment vertical="center"/>
    </xf>
    <xf numFmtId="0" fontId="44" fillId="2" borderId="133" xfId="14" applyFont="1" applyBorder="1" applyAlignment="1" applyProtection="1">
      <alignment horizontal="center" vertical="center"/>
      <protection locked="0"/>
    </xf>
    <xf numFmtId="166" fontId="44" fillId="2" borderId="133" xfId="19" applyNumberFormat="1" applyFont="1" applyBorder="1" applyAlignment="1" applyProtection="1">
      <alignment vertical="center"/>
      <protection hidden="1"/>
    </xf>
    <xf numFmtId="166" fontId="10" fillId="2" borderId="62" xfId="13" applyNumberFormat="1" applyBorder="1"/>
    <xf numFmtId="41" fontId="41" fillId="8" borderId="63" xfId="17" applyNumberFormat="1" applyFont="1" applyFill="1" applyBorder="1"/>
    <xf numFmtId="0" fontId="41" fillId="8" borderId="62" xfId="17" applyFont="1" applyFill="1" applyBorder="1" applyAlignment="1">
      <alignment horizontal="center"/>
    </xf>
    <xf numFmtId="0" fontId="41" fillId="3" borderId="0" xfId="16" applyFont="1" applyFill="1" applyAlignment="1">
      <alignment vertical="center"/>
    </xf>
    <xf numFmtId="170" fontId="41" fillId="8" borderId="72" xfId="17" applyNumberFormat="1" applyFont="1" applyFill="1" applyBorder="1" applyAlignment="1">
      <alignment horizontal="right"/>
    </xf>
    <xf numFmtId="0" fontId="41" fillId="8" borderId="60" xfId="16" applyFont="1" applyFill="1" applyBorder="1" applyAlignment="1">
      <alignment horizontal="center" vertical="center"/>
    </xf>
    <xf numFmtId="0" fontId="10" fillId="8" borderId="0" xfId="13" applyFill="1" applyAlignment="1">
      <alignment horizontal="center" vertical="center"/>
    </xf>
    <xf numFmtId="0" fontId="3" fillId="8" borderId="80" xfId="13" applyFont="1" applyFill="1" applyBorder="1"/>
    <xf numFmtId="0" fontId="41" fillId="3" borderId="80" xfId="16" applyFont="1" applyFill="1" applyBorder="1" applyAlignment="1">
      <alignment horizontal="left" vertical="center"/>
    </xf>
    <xf numFmtId="0" fontId="41" fillId="3" borderId="64" xfId="16" applyFont="1" applyFill="1" applyBorder="1" applyAlignment="1">
      <alignment horizontal="left" vertical="center"/>
    </xf>
    <xf numFmtId="41" fontId="10" fillId="2" borderId="24" xfId="18" applyBorder="1" applyAlignment="1">
      <alignment vertical="center"/>
    </xf>
    <xf numFmtId="166" fontId="10" fillId="2" borderId="134" xfId="13" applyNumberFormat="1" applyBorder="1"/>
    <xf numFmtId="0" fontId="41" fillId="3" borderId="67" xfId="13" applyFont="1" applyFill="1" applyBorder="1" applyAlignment="1">
      <alignment vertical="center"/>
    </xf>
    <xf numFmtId="0" fontId="41" fillId="3" borderId="20" xfId="13" applyFont="1" applyFill="1" applyBorder="1" applyAlignment="1">
      <alignment vertical="center"/>
    </xf>
    <xf numFmtId="0" fontId="41" fillId="3" borderId="31" xfId="13" applyFont="1" applyFill="1" applyBorder="1" applyAlignment="1">
      <alignment vertical="center"/>
    </xf>
    <xf numFmtId="168" fontId="41" fillId="3" borderId="31" xfId="13" applyNumberFormat="1" applyFont="1" applyFill="1" applyBorder="1" applyAlignment="1">
      <alignment vertical="center"/>
    </xf>
    <xf numFmtId="0" fontId="44" fillId="3" borderId="31" xfId="13" applyFont="1" applyFill="1" applyBorder="1" applyAlignment="1">
      <alignment horizontal="right" vertical="center"/>
    </xf>
    <xf numFmtId="41" fontId="10" fillId="2" borderId="15" xfId="18" applyBorder="1" applyAlignment="1">
      <alignment vertical="center"/>
    </xf>
    <xf numFmtId="0" fontId="44" fillId="2" borderId="15" xfId="14" applyFont="1" applyBorder="1" applyAlignment="1" applyProtection="1">
      <alignment horizontal="center" vertical="center"/>
      <protection locked="0"/>
    </xf>
    <xf numFmtId="166" fontId="44" fillId="2" borderId="15" xfId="19" applyNumberFormat="1" applyFont="1" applyBorder="1" applyAlignment="1" applyProtection="1">
      <alignment vertical="center"/>
      <protection hidden="1"/>
    </xf>
    <xf numFmtId="166" fontId="10" fillId="2" borderId="15" xfId="13" applyNumberFormat="1" applyBorder="1"/>
    <xf numFmtId="37" fontId="44" fillId="8" borderId="68" xfId="13" applyNumberFormat="1" applyFont="1" applyFill="1" applyBorder="1" applyAlignment="1">
      <alignment vertical="center"/>
    </xf>
    <xf numFmtId="0" fontId="44" fillId="3" borderId="69" xfId="13" applyFont="1" applyFill="1" applyBorder="1" applyAlignment="1">
      <alignment horizontal="left" vertical="center"/>
    </xf>
    <xf numFmtId="0" fontId="41" fillId="3" borderId="70" xfId="13" applyFont="1" applyFill="1" applyBorder="1" applyAlignment="1">
      <alignment horizontal="left" vertical="center"/>
    </xf>
    <xf numFmtId="0" fontId="41" fillId="3" borderId="70" xfId="13" applyFont="1" applyFill="1" applyBorder="1" applyAlignment="1">
      <alignment vertical="center"/>
    </xf>
    <xf numFmtId="168" fontId="41" fillId="3" borderId="70" xfId="13" applyNumberFormat="1" applyFont="1" applyFill="1" applyBorder="1" applyAlignment="1">
      <alignment vertical="center"/>
    </xf>
    <xf numFmtId="41" fontId="10" fillId="2" borderId="77" xfId="18" applyBorder="1" applyAlignment="1">
      <alignment vertical="center"/>
    </xf>
    <xf numFmtId="0" fontId="44" fillId="2" borderId="25" xfId="14" applyFont="1" applyBorder="1" applyAlignment="1" applyProtection="1">
      <alignment horizontal="center" vertical="center"/>
      <protection locked="0"/>
    </xf>
    <xf numFmtId="166" fontId="44" fillId="2" borderId="25" xfId="19" applyNumberFormat="1" applyFont="1" applyBorder="1" applyAlignment="1" applyProtection="1">
      <alignment vertical="center"/>
      <protection hidden="1"/>
    </xf>
    <xf numFmtId="166" fontId="10" fillId="2" borderId="77" xfId="13" applyNumberFormat="1" applyBorder="1"/>
    <xf numFmtId="37" fontId="41" fillId="3" borderId="71" xfId="13" applyNumberFormat="1" applyFont="1" applyFill="1" applyBorder="1" applyAlignment="1">
      <alignment vertical="center"/>
    </xf>
    <xf numFmtId="43" fontId="41" fillId="3" borderId="55" xfId="19" applyFont="1" applyFill="1" applyBorder="1" applyAlignment="1">
      <alignment horizontal="center" vertical="center"/>
    </xf>
    <xf numFmtId="37" fontId="44" fillId="3" borderId="60" xfId="13" applyNumberFormat="1" applyFont="1" applyFill="1" applyBorder="1" applyAlignment="1">
      <alignment vertical="center"/>
    </xf>
    <xf numFmtId="37" fontId="83" fillId="2" borderId="62" xfId="19" applyNumberFormat="1" applyFont="1" applyFill="1" applyBorder="1" applyAlignment="1">
      <alignment horizontal="right"/>
    </xf>
    <xf numFmtId="0" fontId="41" fillId="3" borderId="59" xfId="13" applyFont="1" applyFill="1" applyBorder="1" applyAlignment="1">
      <alignment horizontal="center" vertical="center"/>
    </xf>
    <xf numFmtId="0" fontId="82" fillId="8" borderId="60" xfId="13" applyFont="1" applyFill="1" applyBorder="1" applyAlignment="1">
      <alignment vertical="center"/>
    </xf>
    <xf numFmtId="0" fontId="44" fillId="3" borderId="72" xfId="13" applyFont="1" applyFill="1" applyBorder="1" applyAlignment="1">
      <alignment vertical="center"/>
    </xf>
    <xf numFmtId="166" fontId="82" fillId="8" borderId="60" xfId="19" applyNumberFormat="1" applyFont="1" applyFill="1" applyBorder="1" applyAlignment="1">
      <alignment horizontal="right" vertical="center"/>
    </xf>
    <xf numFmtId="0" fontId="82" fillId="8" borderId="61" xfId="13" applyFont="1" applyFill="1" applyBorder="1" applyAlignment="1">
      <alignment vertical="center"/>
    </xf>
    <xf numFmtId="37" fontId="41" fillId="3" borderId="62" xfId="19" applyNumberFormat="1" applyFont="1" applyFill="1" applyBorder="1" applyAlignment="1">
      <alignment vertical="center"/>
    </xf>
    <xf numFmtId="37" fontId="10" fillId="3" borderId="15" xfId="19" applyNumberFormat="1" applyFont="1" applyFill="1" applyBorder="1" applyAlignment="1">
      <alignment horizontal="right" indent="1"/>
    </xf>
    <xf numFmtId="41" fontId="41" fillId="3" borderId="63" xfId="17" applyNumberFormat="1" applyFont="1" applyFill="1" applyBorder="1"/>
    <xf numFmtId="166" fontId="41" fillId="2" borderId="0" xfId="15" applyNumberFormat="1" applyFont="1"/>
    <xf numFmtId="0" fontId="41" fillId="2" borderId="0" xfId="13" applyFont="1"/>
    <xf numFmtId="41" fontId="10" fillId="2" borderId="15" xfId="18" applyFont="1" applyFill="1" applyBorder="1"/>
    <xf numFmtId="37" fontId="10" fillId="3" borderId="15" xfId="19" applyNumberFormat="1" applyFont="1" applyFill="1" applyBorder="1" applyAlignment="1">
      <alignment vertical="center"/>
    </xf>
    <xf numFmtId="0" fontId="41" fillId="3" borderId="135" xfId="13" applyFont="1" applyFill="1" applyBorder="1" applyAlignment="1">
      <alignment vertical="center"/>
    </xf>
    <xf numFmtId="0" fontId="41" fillId="3" borderId="75" xfId="13" applyFont="1" applyFill="1" applyBorder="1" applyAlignment="1">
      <alignment vertical="center"/>
    </xf>
    <xf numFmtId="168" fontId="41" fillId="3" borderId="76" xfId="13" applyNumberFormat="1" applyFont="1" applyFill="1" applyBorder="1" applyAlignment="1">
      <alignment vertical="center"/>
    </xf>
    <xf numFmtId="0" fontId="41" fillId="3" borderId="76" xfId="13" applyFont="1" applyFill="1" applyBorder="1" applyAlignment="1">
      <alignment vertical="center"/>
    </xf>
    <xf numFmtId="0" fontId="41" fillId="3" borderId="77" xfId="13" applyFont="1" applyFill="1" applyBorder="1" applyAlignment="1">
      <alignment vertical="center"/>
    </xf>
    <xf numFmtId="0" fontId="10" fillId="3" borderId="15" xfId="13" applyFill="1" applyBorder="1" applyAlignment="1">
      <alignment horizontal="right" indent="1"/>
    </xf>
    <xf numFmtId="37" fontId="41" fillId="8" borderId="78" xfId="13" applyNumberFormat="1" applyFont="1" applyFill="1" applyBorder="1" applyAlignment="1">
      <alignment vertical="center"/>
    </xf>
    <xf numFmtId="37" fontId="6" fillId="3" borderId="0" xfId="19" applyNumberFormat="1" applyFont="1" applyFill="1" applyBorder="1" applyAlignment="1">
      <alignment horizontal="right" vertical="center"/>
    </xf>
    <xf numFmtId="0" fontId="44" fillId="3" borderId="54" xfId="13" applyFont="1" applyFill="1" applyBorder="1" applyAlignment="1">
      <alignment horizontal="center" vertical="center"/>
    </xf>
    <xf numFmtId="0" fontId="41" fillId="3" borderId="61" xfId="13" applyFont="1" applyFill="1" applyBorder="1" applyAlignment="1">
      <alignment horizontal="center" vertical="center"/>
    </xf>
    <xf numFmtId="41" fontId="41" fillId="3" borderId="77" xfId="18" applyFont="1" applyFill="1" applyBorder="1" applyAlignment="1">
      <alignment vertical="center"/>
    </xf>
    <xf numFmtId="37" fontId="41" fillId="8" borderId="79" xfId="13" applyNumberFormat="1" applyFont="1" applyFill="1" applyBorder="1" applyAlignment="1">
      <alignment vertical="center"/>
    </xf>
    <xf numFmtId="0" fontId="41" fillId="3" borderId="60" xfId="13" applyFont="1" applyFill="1" applyBorder="1" applyAlignment="1">
      <alignment vertical="center"/>
    </xf>
    <xf numFmtId="0" fontId="41" fillId="3" borderId="72" xfId="13" applyFont="1" applyFill="1" applyBorder="1" applyAlignment="1">
      <alignment vertical="center"/>
    </xf>
    <xf numFmtId="37" fontId="41" fillId="3" borderId="61" xfId="13" applyNumberFormat="1" applyFont="1" applyFill="1" applyBorder="1" applyAlignment="1">
      <alignment vertical="center"/>
    </xf>
    <xf numFmtId="41" fontId="41" fillId="3" borderId="62" xfId="18" applyFont="1" applyFill="1" applyBorder="1" applyAlignment="1">
      <alignment vertical="center"/>
    </xf>
    <xf numFmtId="0" fontId="5" fillId="3" borderId="15" xfId="14" applyFont="1" applyFill="1" applyBorder="1" applyAlignment="1">
      <alignment horizontal="right" indent="1"/>
    </xf>
    <xf numFmtId="0" fontId="46" fillId="3" borderId="31" xfId="13" applyFont="1" applyFill="1" applyBorder="1" applyAlignment="1">
      <alignment vertical="center"/>
    </xf>
    <xf numFmtId="0" fontId="10" fillId="3" borderId="31" xfId="13" applyFill="1" applyBorder="1"/>
    <xf numFmtId="0" fontId="4" fillId="2" borderId="85" xfId="13" applyFont="1" applyBorder="1" applyAlignment="1">
      <alignment vertical="center"/>
    </xf>
    <xf numFmtId="0" fontId="4" fillId="2" borderId="86" xfId="13" applyFont="1" applyBorder="1" applyAlignment="1">
      <alignment vertical="center"/>
    </xf>
    <xf numFmtId="37" fontId="4" fillId="2" borderId="86" xfId="13" applyNumberFormat="1" applyFont="1" applyBorder="1" applyAlignment="1">
      <alignment vertical="center"/>
    </xf>
    <xf numFmtId="166" fontId="4" fillId="2" borderId="86" xfId="13" applyNumberFormat="1" applyFont="1" applyBorder="1" applyAlignment="1">
      <alignment vertical="center"/>
    </xf>
    <xf numFmtId="0" fontId="4" fillId="2" borderId="86" xfId="13" applyFont="1" applyBorder="1" applyAlignment="1">
      <alignment horizontal="right" vertical="center"/>
    </xf>
    <xf numFmtId="0" fontId="10" fillId="3" borderId="83" xfId="13" applyFill="1" applyBorder="1"/>
    <xf numFmtId="166" fontId="4" fillId="2" borderId="87" xfId="13" applyNumberFormat="1" applyFont="1" applyBorder="1" applyAlignment="1">
      <alignment vertical="center"/>
    </xf>
    <xf numFmtId="0" fontId="10" fillId="2" borderId="0" xfId="13" applyAlignment="1">
      <alignment horizontal="center"/>
    </xf>
    <xf numFmtId="0" fontId="10" fillId="8" borderId="0" xfId="13" applyFill="1" applyAlignment="1">
      <alignment horizontal="center"/>
    </xf>
    <xf numFmtId="0" fontId="5" fillId="2" borderId="0" xfId="13" applyFont="1" applyAlignment="1">
      <alignment horizontal="center"/>
    </xf>
    <xf numFmtId="0" fontId="10" fillId="8" borderId="0" xfId="13" applyFill="1"/>
    <xf numFmtId="0" fontId="44" fillId="2" borderId="0" xfId="13" applyFont="1" applyAlignment="1">
      <alignment horizontal="center"/>
    </xf>
    <xf numFmtId="0" fontId="44" fillId="2" borderId="0" xfId="13" applyFont="1" applyAlignment="1">
      <alignment horizontal="center" vertical="center"/>
    </xf>
    <xf numFmtId="0" fontId="53" fillId="8" borderId="0" xfId="13" applyFont="1" applyFill="1" applyAlignment="1">
      <alignment horizontal="center"/>
    </xf>
    <xf numFmtId="0" fontId="52" fillId="2" borderId="0" xfId="14" applyFont="1"/>
    <xf numFmtId="166" fontId="10" fillId="2" borderId="0" xfId="13" applyNumberFormat="1"/>
    <xf numFmtId="166" fontId="10" fillId="2" borderId="0" xfId="14" applyNumberFormat="1"/>
    <xf numFmtId="166" fontId="10" fillId="2" borderId="0" xfId="14" applyNumberFormat="1" applyAlignment="1">
      <alignment horizontal="center"/>
    </xf>
    <xf numFmtId="43" fontId="10" fillId="2" borderId="0" xfId="14" applyNumberFormat="1"/>
    <xf numFmtId="0" fontId="10" fillId="2" borderId="0" xfId="14"/>
    <xf numFmtId="166" fontId="10" fillId="2" borderId="0" xfId="14" applyNumberFormat="1" applyAlignment="1">
      <alignment horizontal="left"/>
    </xf>
    <xf numFmtId="166" fontId="5" fillId="8" borderId="0" xfId="14" applyNumberFormat="1" applyFont="1" applyFill="1"/>
    <xf numFmtId="166" fontId="10" fillId="2" borderId="0" xfId="19" applyNumberFormat="1" applyFont="1"/>
    <xf numFmtId="41" fontId="10" fillId="2" borderId="0" xfId="14" applyNumberFormat="1"/>
    <xf numFmtId="166" fontId="5" fillId="5" borderId="0" xfId="14" applyNumberFormat="1" applyFont="1" applyFill="1"/>
    <xf numFmtId="41" fontId="49" fillId="2" borderId="108" xfId="14" applyNumberFormat="1" applyFont="1" applyBorder="1"/>
    <xf numFmtId="41" fontId="10" fillId="2" borderId="58" xfId="18" applyFont="1" applyBorder="1" applyAlignment="1">
      <alignment horizontal="center"/>
    </xf>
    <xf numFmtId="41" fontId="10" fillId="2" borderId="60" xfId="18" applyFont="1" applyBorder="1" applyAlignment="1">
      <alignment horizontal="center"/>
    </xf>
    <xf numFmtId="41" fontId="10" fillId="2" borderId="62" xfId="18" applyFont="1" applyBorder="1" applyAlignment="1">
      <alignment horizontal="center"/>
    </xf>
    <xf numFmtId="41" fontId="10" fillId="2" borderId="61" xfId="14" applyNumberFormat="1" applyBorder="1"/>
    <xf numFmtId="41" fontId="10" fillId="8" borderId="72" xfId="19" applyNumberFormat="1" applyFont="1" applyFill="1" applyBorder="1" applyAlignment="1">
      <alignment horizontal="center"/>
    </xf>
    <xf numFmtId="41" fontId="10" fillId="8" borderId="60" xfId="19" applyNumberFormat="1" applyFont="1" applyFill="1" applyBorder="1" applyAlignment="1">
      <alignment horizontal="center"/>
    </xf>
    <xf numFmtId="41" fontId="10" fillId="8" borderId="113" xfId="19" applyNumberFormat="1" applyFont="1" applyFill="1" applyBorder="1" applyAlignment="1">
      <alignment horizontal="center"/>
    </xf>
    <xf numFmtId="173" fontId="10" fillId="8" borderId="113" xfId="19" applyNumberFormat="1" applyFont="1" applyFill="1" applyBorder="1"/>
    <xf numFmtId="172" fontId="10" fillId="8" borderId="80" xfId="19" applyNumberFormat="1" applyFont="1" applyFill="1" applyBorder="1"/>
    <xf numFmtId="173" fontId="10" fillId="8" borderId="114" xfId="19" applyNumberFormat="1" applyFont="1" applyFill="1" applyBorder="1"/>
    <xf numFmtId="41" fontId="10" fillId="8" borderId="80" xfId="14" applyNumberFormat="1" applyFill="1" applyBorder="1" applyAlignment="1">
      <alignment horizontal="left"/>
    </xf>
    <xf numFmtId="172" fontId="10" fillId="8" borderId="59" xfId="14" applyNumberFormat="1" applyFill="1" applyBorder="1" applyAlignment="1">
      <alignment horizontal="center"/>
    </xf>
    <xf numFmtId="41" fontId="5" fillId="2" borderId="58" xfId="18" applyFont="1" applyBorder="1" applyAlignment="1">
      <alignment horizontal="center"/>
    </xf>
    <xf numFmtId="41" fontId="5" fillId="2" borderId="60" xfId="18" applyFont="1" applyBorder="1" applyAlignment="1">
      <alignment horizontal="center"/>
    </xf>
    <xf numFmtId="41" fontId="5" fillId="2" borderId="62" xfId="18" applyFont="1" applyBorder="1" applyAlignment="1">
      <alignment horizontal="center"/>
    </xf>
    <xf numFmtId="41" fontId="5" fillId="2" borderId="61" xfId="14" applyNumberFormat="1" applyFont="1" applyBorder="1"/>
    <xf numFmtId="41" fontId="5" fillId="8" borderId="72" xfId="19" applyNumberFormat="1" applyFont="1" applyFill="1" applyBorder="1" applyAlignment="1">
      <alignment horizontal="center"/>
    </xf>
    <xf numFmtId="41" fontId="5" fillId="8" borderId="60" xfId="19" applyNumberFormat="1" applyFont="1" applyFill="1" applyBorder="1" applyAlignment="1">
      <alignment horizontal="center"/>
    </xf>
    <xf numFmtId="41" fontId="5" fillId="8" borderId="113" xfId="19" applyNumberFormat="1" applyFont="1" applyFill="1" applyBorder="1" applyAlignment="1">
      <alignment horizontal="center"/>
    </xf>
    <xf numFmtId="173" fontId="5" fillId="8" borderId="113" xfId="19" applyNumberFormat="1" applyFont="1" applyFill="1" applyBorder="1"/>
    <xf numFmtId="172" fontId="5" fillId="8" borderId="80" xfId="19" applyNumberFormat="1" applyFont="1" applyFill="1" applyBorder="1"/>
    <xf numFmtId="41" fontId="5" fillId="8" borderId="80" xfId="14" applyNumberFormat="1" applyFont="1" applyFill="1" applyBorder="1" applyAlignment="1">
      <alignment horizontal="left"/>
    </xf>
    <xf numFmtId="172" fontId="5" fillId="8" borderId="59" xfId="14" quotePrefix="1" applyNumberFormat="1" applyFont="1" applyFill="1" applyBorder="1" applyAlignment="1">
      <alignment horizontal="center"/>
    </xf>
    <xf numFmtId="166" fontId="5" fillId="2" borderId="0" xfId="14" applyNumberFormat="1" applyFont="1"/>
    <xf numFmtId="41" fontId="10" fillId="2" borderId="24" xfId="14" applyNumberFormat="1" applyBorder="1"/>
    <xf numFmtId="41" fontId="10" fillId="8" borderId="119" xfId="19" applyNumberFormat="1" applyFont="1" applyFill="1" applyBorder="1" applyAlignment="1">
      <alignment horizontal="center"/>
    </xf>
    <xf numFmtId="173" fontId="10" fillId="8" borderId="119" xfId="19" applyNumberFormat="1" applyFont="1" applyFill="1" applyBorder="1"/>
    <xf numFmtId="41" fontId="10" fillId="8" borderId="59" xfId="14" applyNumberFormat="1" applyFill="1" applyBorder="1" applyAlignment="1">
      <alignment horizontal="center"/>
    </xf>
    <xf numFmtId="41" fontId="10" fillId="8" borderId="59" xfId="19" applyNumberFormat="1" applyFont="1" applyFill="1" applyBorder="1" applyAlignment="1">
      <alignment horizontal="center"/>
    </xf>
    <xf numFmtId="41" fontId="10" fillId="8" borderId="114" xfId="19" applyNumberFormat="1" applyFont="1" applyFill="1" applyBorder="1"/>
    <xf numFmtId="41" fontId="10" fillId="8" borderId="59" xfId="14" quotePrefix="1" applyNumberFormat="1" applyFill="1" applyBorder="1" applyAlignment="1">
      <alignment horizontal="center"/>
    </xf>
    <xf numFmtId="41" fontId="10" fillId="8" borderId="72" xfId="19" applyNumberFormat="1" applyFont="1" applyFill="1" applyBorder="1" applyAlignment="1"/>
    <xf numFmtId="41" fontId="10" fillId="8" borderId="113" xfId="19" applyNumberFormat="1" applyFont="1" applyFill="1" applyBorder="1"/>
    <xf numFmtId="172" fontId="10" fillId="8" borderId="60" xfId="19" applyNumberFormat="1" applyFont="1" applyFill="1" applyBorder="1"/>
    <xf numFmtId="41" fontId="50" fillId="2" borderId="112" xfId="14" applyNumberFormat="1" applyFont="1" applyBorder="1"/>
    <xf numFmtId="41" fontId="50" fillId="2" borderId="56" xfId="14" applyNumberFormat="1" applyFont="1" applyBorder="1"/>
    <xf numFmtId="41" fontId="50" fillId="2" borderId="111" xfId="14" applyNumberFormat="1" applyFont="1" applyBorder="1"/>
    <xf numFmtId="41" fontId="5" fillId="2" borderId="24" xfId="14" applyNumberFormat="1" applyFont="1" applyBorder="1"/>
    <xf numFmtId="41" fontId="10" fillId="8" borderId="118" xfId="14" applyNumberFormat="1" applyFill="1" applyBorder="1"/>
    <xf numFmtId="41" fontId="10" fillId="8" borderId="55" xfId="14" applyNumberFormat="1" applyFill="1" applyBorder="1"/>
    <xf numFmtId="41" fontId="5" fillId="8" borderId="54" xfId="14" applyNumberFormat="1" applyFont="1" applyFill="1" applyBorder="1" applyAlignment="1">
      <alignment horizontal="center"/>
    </xf>
    <xf numFmtId="41" fontId="10" fillId="2" borderId="58" xfId="19" applyNumberFormat="1" applyFont="1" applyBorder="1" applyAlignment="1">
      <alignment horizontal="center"/>
    </xf>
    <xf numFmtId="41" fontId="10" fillId="2" borderId="60" xfId="19" applyNumberFormat="1" applyFont="1" applyBorder="1" applyAlignment="1">
      <alignment horizontal="center"/>
    </xf>
    <xf numFmtId="41" fontId="10" fillId="2" borderId="62" xfId="19" applyNumberFormat="1" applyFont="1" applyBorder="1" applyAlignment="1">
      <alignment horizontal="center"/>
    </xf>
    <xf numFmtId="41" fontId="10" fillId="8" borderId="72" xfId="19" applyNumberFormat="1" applyFont="1" applyFill="1" applyBorder="1" applyAlignment="1">
      <alignment horizontal="right"/>
    </xf>
    <xf numFmtId="41" fontId="10" fillId="8" borderId="60" xfId="19" applyNumberFormat="1" applyFont="1" applyFill="1" applyBorder="1" applyAlignment="1">
      <alignment horizontal="right"/>
    </xf>
    <xf numFmtId="41" fontId="10" fillId="8" borderId="53" xfId="14" applyNumberFormat="1" applyFill="1" applyBorder="1" applyAlignment="1">
      <alignment horizontal="center"/>
    </xf>
    <xf numFmtId="41" fontId="10" fillId="8" borderId="53" xfId="19" applyNumberFormat="1" applyFont="1" applyFill="1" applyBorder="1"/>
    <xf numFmtId="41" fontId="10" fillId="8" borderId="55" xfId="19" applyNumberFormat="1" applyFont="1" applyFill="1" applyBorder="1"/>
    <xf numFmtId="0" fontId="84" fillId="8" borderId="117" xfId="14" applyFont="1" applyFill="1" applyBorder="1" applyAlignment="1">
      <alignment horizontal="left" vertical="center"/>
    </xf>
    <xf numFmtId="0" fontId="84" fillId="8" borderId="116" xfId="14" applyFont="1" applyFill="1" applyBorder="1" applyAlignment="1">
      <alignment horizontal="left" vertical="center"/>
    </xf>
    <xf numFmtId="0" fontId="83" fillId="8" borderId="116" xfId="14" applyFont="1" applyFill="1" applyBorder="1" applyAlignment="1">
      <alignment horizontal="left" vertical="center"/>
    </xf>
    <xf numFmtId="172" fontId="10" fillId="8" borderId="59" xfId="14" quotePrefix="1" applyNumberFormat="1" applyFill="1" applyBorder="1" applyAlignment="1">
      <alignment horizontal="center"/>
    </xf>
    <xf numFmtId="41" fontId="10" fillId="8" borderId="113" xfId="14" applyNumberFormat="1" applyFill="1" applyBorder="1" applyAlignment="1">
      <alignment horizontal="center"/>
    </xf>
    <xf numFmtId="41" fontId="10" fillId="8" borderId="60" xfId="19" applyNumberFormat="1" applyFont="1" applyFill="1" applyBorder="1"/>
    <xf numFmtId="41" fontId="10" fillId="8" borderId="178" xfId="19" applyNumberFormat="1" applyFont="1" applyFill="1" applyBorder="1"/>
    <xf numFmtId="0" fontId="84" fillId="8" borderId="170" xfId="14" applyFont="1" applyFill="1" applyBorder="1" applyAlignment="1">
      <alignment horizontal="left" vertical="center"/>
    </xf>
    <xf numFmtId="0" fontId="84" fillId="8" borderId="80" xfId="14" applyFont="1" applyFill="1" applyBorder="1" applyAlignment="1">
      <alignment horizontal="left" vertical="center"/>
    </xf>
    <xf numFmtId="0" fontId="83" fillId="8" borderId="80" xfId="14" applyFont="1" applyFill="1" applyBorder="1" applyAlignment="1">
      <alignment horizontal="left" vertical="center"/>
    </xf>
    <xf numFmtId="0" fontId="84" fillId="8" borderId="58" xfId="14" applyFont="1" applyFill="1" applyBorder="1" applyAlignment="1">
      <alignment horizontal="left" vertical="center"/>
    </xf>
    <xf numFmtId="0" fontId="84" fillId="8" borderId="60" xfId="14" applyFont="1" applyFill="1" applyBorder="1" applyAlignment="1">
      <alignment horizontal="left" vertical="center"/>
    </xf>
    <xf numFmtId="0" fontId="83" fillId="8" borderId="60" xfId="14" applyFont="1" applyFill="1" applyBorder="1" applyAlignment="1">
      <alignment horizontal="left" vertical="center"/>
    </xf>
    <xf numFmtId="41" fontId="10" fillId="2" borderId="115" xfId="18" applyFont="1" applyBorder="1" applyAlignment="1">
      <alignment horizontal="center"/>
    </xf>
    <xf numFmtId="41" fontId="10" fillId="2" borderId="0" xfId="18" applyFont="1" applyBorder="1" applyAlignment="1">
      <alignment horizontal="center"/>
    </xf>
    <xf numFmtId="41" fontId="10" fillId="2" borderId="25" xfId="18" applyFont="1" applyBorder="1" applyAlignment="1">
      <alignment horizontal="center"/>
    </xf>
    <xf numFmtId="41" fontId="10" fillId="8" borderId="114" xfId="14" applyNumberFormat="1" applyFill="1" applyBorder="1" applyAlignment="1">
      <alignment horizontal="center"/>
    </xf>
    <xf numFmtId="41" fontId="10" fillId="8" borderId="80" xfId="14" applyNumberFormat="1" applyFill="1" applyBorder="1" applyAlignment="1">
      <alignment horizontal="center"/>
    </xf>
    <xf numFmtId="41" fontId="10" fillId="8" borderId="80" xfId="19" applyNumberFormat="1" applyFont="1" applyFill="1" applyBorder="1"/>
    <xf numFmtId="41" fontId="10" fillId="8" borderId="59" xfId="19" applyNumberFormat="1" applyFont="1" applyFill="1" applyBorder="1" applyAlignment="1"/>
    <xf numFmtId="41" fontId="10" fillId="8" borderId="60" xfId="14" applyNumberFormat="1" applyFill="1" applyBorder="1" applyAlignment="1">
      <alignment horizontal="center"/>
    </xf>
    <xf numFmtId="166" fontId="10" fillId="2" borderId="112" xfId="14" applyNumberFormat="1" applyBorder="1"/>
    <xf numFmtId="166" fontId="10" fillId="2" borderId="56" xfId="14" applyNumberFormat="1" applyBorder="1"/>
    <xf numFmtId="166" fontId="10" fillId="2" borderId="111" xfId="14" applyNumberFormat="1" applyBorder="1"/>
    <xf numFmtId="166" fontId="5" fillId="2" borderId="24" xfId="14" applyNumberFormat="1" applyFont="1" applyBorder="1"/>
    <xf numFmtId="166" fontId="10" fillId="2" borderId="55" xfId="14" applyNumberFormat="1" applyBorder="1"/>
    <xf numFmtId="166" fontId="10" fillId="2" borderId="110" xfId="14" applyNumberFormat="1" applyBorder="1"/>
    <xf numFmtId="166" fontId="10" fillId="2" borderId="110" xfId="19" applyNumberFormat="1" applyFont="1" applyBorder="1"/>
    <xf numFmtId="166" fontId="5" fillId="2" borderId="54" xfId="14" applyNumberFormat="1" applyFont="1" applyBorder="1" applyAlignment="1">
      <alignment horizontal="center"/>
    </xf>
    <xf numFmtId="166" fontId="10" fillId="2" borderId="86" xfId="14" applyNumberFormat="1" applyBorder="1" applyAlignment="1">
      <alignment horizontal="center"/>
    </xf>
    <xf numFmtId="166" fontId="10" fillId="2" borderId="85" xfId="14" applyNumberFormat="1" applyBorder="1" applyAlignment="1">
      <alignment horizontal="center"/>
    </xf>
    <xf numFmtId="166" fontId="10" fillId="2" borderId="108" xfId="14" applyNumberFormat="1" applyBorder="1"/>
    <xf numFmtId="166" fontId="10" fillId="2" borderId="0" xfId="14" applyNumberFormat="1" applyAlignment="1">
      <alignment horizontal="center" vertical="center"/>
    </xf>
    <xf numFmtId="166" fontId="5" fillId="2" borderId="85" xfId="14" applyNumberFormat="1" applyFont="1" applyBorder="1" applyAlignment="1">
      <alignment horizontal="center" vertical="center" wrapText="1"/>
    </xf>
    <xf numFmtId="166" fontId="5" fillId="2" borderId="86" xfId="14" applyNumberFormat="1" applyFont="1" applyBorder="1" applyAlignment="1">
      <alignment horizontal="center" vertical="center" wrapText="1"/>
    </xf>
    <xf numFmtId="166" fontId="5" fillId="2" borderId="99" xfId="14" applyNumberFormat="1" applyFont="1" applyBorder="1" applyAlignment="1">
      <alignment vertical="center"/>
    </xf>
    <xf numFmtId="166" fontId="48" fillId="2" borderId="0" xfId="14" applyNumberFormat="1" applyFont="1"/>
    <xf numFmtId="171" fontId="48" fillId="2" borderId="0" xfId="14" applyNumberFormat="1" applyFont="1"/>
    <xf numFmtId="166" fontId="48" fillId="2" borderId="0" xfId="14" applyNumberFormat="1" applyFont="1" applyAlignment="1">
      <alignment horizontal="left"/>
    </xf>
    <xf numFmtId="166" fontId="48" fillId="2" borderId="0" xfId="14" applyNumberFormat="1" applyFont="1" applyAlignment="1">
      <alignment horizontal="right"/>
    </xf>
    <xf numFmtId="166" fontId="48" fillId="2" borderId="0" xfId="14" applyNumberFormat="1" applyFont="1" applyAlignment="1">
      <alignment horizontal="center"/>
    </xf>
    <xf numFmtId="166" fontId="5" fillId="2" borderId="0" xfId="14" applyNumberFormat="1" applyFont="1" applyAlignment="1">
      <alignment horizontal="center"/>
    </xf>
    <xf numFmtId="166" fontId="6" fillId="2" borderId="0" xfId="14" applyNumberFormat="1" applyFont="1" applyAlignment="1">
      <alignment horizontal="right"/>
    </xf>
    <xf numFmtId="166" fontId="8" fillId="2" borderId="0" xfId="14" applyNumberFormat="1" applyFont="1" applyAlignment="1">
      <alignment horizontal="left"/>
    </xf>
    <xf numFmtId="166" fontId="47" fillId="2" borderId="0" xfId="14" applyNumberFormat="1" applyFont="1" applyAlignment="1">
      <alignment horizontal="left"/>
    </xf>
    <xf numFmtId="0" fontId="42" fillId="3" borderId="0" xfId="14" applyFont="1" applyFill="1" applyAlignment="1">
      <alignment vertical="center"/>
    </xf>
    <xf numFmtId="0" fontId="41" fillId="3" borderId="0" xfId="14" applyFont="1" applyFill="1" applyAlignment="1">
      <alignment vertical="center"/>
    </xf>
    <xf numFmtId="0" fontId="41" fillId="3" borderId="0" xfId="14" applyFont="1" applyFill="1" applyAlignment="1">
      <alignment horizontal="left" vertical="center"/>
    </xf>
    <xf numFmtId="0" fontId="44" fillId="3" borderId="54" xfId="14" applyFont="1" applyFill="1" applyBorder="1" applyAlignment="1">
      <alignment horizontal="left" vertical="center"/>
    </xf>
    <xf numFmtId="0" fontId="41" fillId="3" borderId="55" xfId="14" applyFont="1" applyFill="1" applyBorder="1" applyAlignment="1">
      <alignment horizontal="left" vertical="center"/>
    </xf>
    <xf numFmtId="0" fontId="41" fillId="3" borderId="55" xfId="14" applyFont="1" applyFill="1" applyBorder="1" applyAlignment="1">
      <alignment vertical="center"/>
    </xf>
    <xf numFmtId="168" fontId="41" fillId="3" borderId="56" xfId="14" applyNumberFormat="1" applyFont="1" applyFill="1" applyBorder="1" applyAlignment="1">
      <alignment vertical="center"/>
    </xf>
    <xf numFmtId="0" fontId="41" fillId="3" borderId="56" xfId="14" applyFont="1" applyFill="1" applyBorder="1" applyAlignment="1">
      <alignment vertical="center"/>
    </xf>
    <xf numFmtId="0" fontId="44" fillId="3" borderId="57" xfId="14" applyFont="1" applyFill="1" applyBorder="1" applyAlignment="1">
      <alignment horizontal="center" vertical="center"/>
    </xf>
    <xf numFmtId="0" fontId="9" fillId="3" borderId="54" xfId="14" applyFont="1" applyFill="1" applyBorder="1" applyAlignment="1">
      <alignment vertical="center"/>
    </xf>
    <xf numFmtId="0" fontId="9" fillId="3" borderId="55" xfId="14" applyFont="1" applyFill="1" applyBorder="1" applyAlignment="1">
      <alignment horizontal="left" vertical="center"/>
    </xf>
    <xf numFmtId="0" fontId="9" fillId="3" borderId="55" xfId="14" applyFont="1" applyFill="1" applyBorder="1" applyAlignment="1">
      <alignment vertical="center"/>
    </xf>
    <xf numFmtId="37" fontId="44" fillId="3" borderId="55" xfId="14" applyNumberFormat="1" applyFont="1" applyFill="1" applyBorder="1" applyAlignment="1">
      <alignment vertical="center"/>
    </xf>
    <xf numFmtId="0" fontId="44" fillId="3" borderId="55" xfId="14" applyFont="1" applyFill="1" applyBorder="1" applyAlignment="1">
      <alignment vertical="center"/>
    </xf>
    <xf numFmtId="37" fontId="9" fillId="3" borderId="58" xfId="14" applyNumberFormat="1" applyFont="1" applyFill="1" applyBorder="1" applyAlignment="1">
      <alignment vertical="center"/>
    </xf>
    <xf numFmtId="166" fontId="0" fillId="2" borderId="0" xfId="19" applyNumberFormat="1" applyFont="1"/>
    <xf numFmtId="0" fontId="41" fillId="3" borderId="60" xfId="16" applyFont="1" applyFill="1" applyBorder="1" applyAlignment="1">
      <alignment horizontal="left" vertical="center"/>
    </xf>
    <xf numFmtId="170" fontId="41" fillId="3" borderId="61" xfId="17" applyNumberFormat="1" applyFont="1" applyFill="1" applyBorder="1" applyAlignment="1">
      <alignment horizontal="right"/>
    </xf>
    <xf numFmtId="0" fontId="41" fillId="3" borderId="62" xfId="17" applyFont="1" applyFill="1" applyBorder="1" applyAlignment="1">
      <alignment horizontal="center"/>
    </xf>
    <xf numFmtId="41" fontId="41" fillId="3" borderId="61" xfId="17" applyNumberFormat="1" applyFont="1" applyFill="1" applyBorder="1"/>
    <xf numFmtId="0" fontId="41" fillId="3" borderId="60" xfId="17" applyFont="1" applyFill="1" applyBorder="1" applyAlignment="1">
      <alignment horizontal="center"/>
    </xf>
    <xf numFmtId="0" fontId="41" fillId="3" borderId="60" xfId="16" applyFont="1" applyFill="1" applyBorder="1" applyAlignment="1">
      <alignment horizontal="center" vertical="center"/>
    </xf>
    <xf numFmtId="0" fontId="41" fillId="3" borderId="20" xfId="16" applyFont="1" applyFill="1" applyBorder="1" applyAlignment="1">
      <alignment horizontal="left" vertical="center"/>
    </xf>
    <xf numFmtId="170" fontId="41" fillId="3" borderId="65" xfId="17" applyNumberFormat="1" applyFont="1" applyFill="1" applyBorder="1" applyAlignment="1">
      <alignment horizontal="right"/>
    </xf>
    <xf numFmtId="0" fontId="41" fillId="3" borderId="65" xfId="16" applyFont="1" applyFill="1" applyBorder="1" applyAlignment="1">
      <alignment horizontal="center" vertical="center"/>
    </xf>
    <xf numFmtId="41" fontId="41" fillId="3" borderId="66" xfId="17" applyNumberFormat="1" applyFont="1" applyFill="1" applyBorder="1"/>
    <xf numFmtId="0" fontId="41" fillId="3" borderId="67" xfId="14" applyFont="1" applyFill="1" applyBorder="1" applyAlignment="1">
      <alignment vertical="center"/>
    </xf>
    <xf numFmtId="0" fontId="41" fillId="3" borderId="20" xfId="14" applyFont="1" applyFill="1" applyBorder="1" applyAlignment="1">
      <alignment vertical="center"/>
    </xf>
    <xf numFmtId="0" fontId="41" fillId="3" borderId="31" xfId="14" applyFont="1" applyFill="1" applyBorder="1" applyAlignment="1">
      <alignment vertical="center"/>
    </xf>
    <xf numFmtId="168" fontId="41" fillId="3" borderId="31" xfId="14" applyNumberFormat="1" applyFont="1" applyFill="1" applyBorder="1" applyAlignment="1">
      <alignment vertical="center"/>
    </xf>
    <xf numFmtId="0" fontId="44" fillId="3" borderId="31" xfId="14" applyFont="1" applyFill="1" applyBorder="1" applyAlignment="1">
      <alignment horizontal="right" vertical="center"/>
    </xf>
    <xf numFmtId="37" fontId="44" fillId="8" borderId="68" xfId="14" applyNumberFormat="1" applyFont="1" applyFill="1" applyBorder="1" applyAlignment="1">
      <alignment vertical="center"/>
    </xf>
    <xf numFmtId="0" fontId="44" fillId="3" borderId="69" xfId="14" applyFont="1" applyFill="1" applyBorder="1" applyAlignment="1">
      <alignment horizontal="left" vertical="center"/>
    </xf>
    <xf numFmtId="0" fontId="41" fillId="3" borderId="70" xfId="14" applyFont="1" applyFill="1" applyBorder="1" applyAlignment="1">
      <alignment horizontal="left" vertical="center"/>
    </xf>
    <xf numFmtId="0" fontId="41" fillId="3" borderId="70" xfId="14" applyFont="1" applyFill="1" applyBorder="1" applyAlignment="1">
      <alignment vertical="center"/>
    </xf>
    <xf numFmtId="168" fontId="41" fillId="3" borderId="70" xfId="14" applyNumberFormat="1" applyFont="1" applyFill="1" applyBorder="1" applyAlignment="1">
      <alignment vertical="center"/>
    </xf>
    <xf numFmtId="37" fontId="41" fillId="3" borderId="71" xfId="14" applyNumberFormat="1" applyFont="1" applyFill="1" applyBorder="1" applyAlignment="1">
      <alignment vertical="center"/>
    </xf>
    <xf numFmtId="37" fontId="44" fillId="3" borderId="60" xfId="14" applyNumberFormat="1" applyFont="1" applyFill="1" applyBorder="1" applyAlignment="1">
      <alignment vertical="center"/>
    </xf>
    <xf numFmtId="0" fontId="41" fillId="3" borderId="59" xfId="14" applyFont="1" applyFill="1" applyBorder="1" applyAlignment="1">
      <alignment horizontal="center" vertical="center"/>
    </xf>
    <xf numFmtId="0" fontId="82" fillId="8" borderId="60" xfId="14" applyFont="1" applyFill="1" applyBorder="1" applyAlignment="1">
      <alignment vertical="center"/>
    </xf>
    <xf numFmtId="0" fontId="44" fillId="3" borderId="72" xfId="14" applyFont="1" applyFill="1" applyBorder="1" applyAlignment="1">
      <alignment vertical="center"/>
    </xf>
    <xf numFmtId="0" fontId="82" fillId="8" borderId="61" xfId="14" applyFont="1" applyFill="1" applyBorder="1" applyAlignment="1">
      <alignment vertical="center"/>
    </xf>
    <xf numFmtId="37" fontId="41" fillId="3" borderId="61" xfId="19" applyNumberFormat="1" applyFont="1" applyFill="1" applyBorder="1" applyAlignment="1">
      <alignment vertical="center"/>
    </xf>
    <xf numFmtId="166" fontId="41" fillId="2" borderId="0" xfId="19" applyNumberFormat="1" applyFont="1"/>
    <xf numFmtId="0" fontId="41" fillId="2" borderId="0" xfId="14" applyFont="1"/>
    <xf numFmtId="0" fontId="41" fillId="3" borderId="73" xfId="14" applyFont="1" applyFill="1" applyBorder="1" applyAlignment="1">
      <alignment horizontal="center" vertical="center"/>
    </xf>
    <xf numFmtId="0" fontId="82" fillId="8" borderId="64" xfId="14" applyFont="1" applyFill="1" applyBorder="1" applyAlignment="1">
      <alignment vertical="center"/>
    </xf>
    <xf numFmtId="0" fontId="44" fillId="3" borderId="74" xfId="14" applyFont="1" applyFill="1" applyBorder="1" applyAlignment="1">
      <alignment vertical="center"/>
    </xf>
    <xf numFmtId="166" fontId="82" fillId="8" borderId="64" xfId="19" applyNumberFormat="1" applyFont="1" applyFill="1" applyBorder="1" applyAlignment="1">
      <alignment horizontal="right" vertical="center"/>
    </xf>
    <xf numFmtId="0" fontId="82" fillId="8" borderId="66" xfId="14" applyFont="1" applyFill="1" applyBorder="1" applyAlignment="1">
      <alignment vertical="center"/>
    </xf>
    <xf numFmtId="37" fontId="41" fillId="3" borderId="66" xfId="19" applyNumberFormat="1" applyFont="1" applyFill="1" applyBorder="1" applyAlignment="1">
      <alignment vertical="center"/>
    </xf>
    <xf numFmtId="0" fontId="41" fillId="3" borderId="75" xfId="14" applyFont="1" applyFill="1" applyBorder="1" applyAlignment="1">
      <alignment vertical="center"/>
    </xf>
    <xf numFmtId="168" fontId="41" fillId="3" borderId="76" xfId="14" applyNumberFormat="1" applyFont="1" applyFill="1" applyBorder="1" applyAlignment="1">
      <alignment vertical="center"/>
    </xf>
    <xf numFmtId="0" fontId="41" fillId="3" borderId="76" xfId="14" applyFont="1" applyFill="1" applyBorder="1" applyAlignment="1">
      <alignment vertical="center"/>
    </xf>
    <xf numFmtId="0" fontId="41" fillId="3" borderId="77" xfId="14" applyFont="1" applyFill="1" applyBorder="1" applyAlignment="1">
      <alignment vertical="center"/>
    </xf>
    <xf numFmtId="37" fontId="41" fillId="8" borderId="78" xfId="14" applyNumberFormat="1" applyFont="1" applyFill="1" applyBorder="1" applyAlignment="1">
      <alignment vertical="center"/>
    </xf>
    <xf numFmtId="0" fontId="41" fillId="3" borderId="60" xfId="14" applyFont="1" applyFill="1" applyBorder="1" applyAlignment="1">
      <alignment vertical="center"/>
    </xf>
    <xf numFmtId="0" fontId="41" fillId="3" borderId="72" xfId="14" applyFont="1" applyFill="1" applyBorder="1" applyAlignment="1">
      <alignment vertical="center"/>
    </xf>
    <xf numFmtId="37" fontId="41" fillId="3" borderId="61" xfId="14" applyNumberFormat="1" applyFont="1" applyFill="1" applyBorder="1" applyAlignment="1">
      <alignment vertical="center"/>
    </xf>
    <xf numFmtId="0" fontId="41" fillId="3" borderId="61" xfId="14" applyFont="1" applyFill="1" applyBorder="1" applyAlignment="1">
      <alignment horizontal="center" vertical="center"/>
    </xf>
    <xf numFmtId="37" fontId="41" fillId="8" borderId="79" xfId="14" applyNumberFormat="1" applyFont="1" applyFill="1" applyBorder="1" applyAlignment="1">
      <alignment vertical="center"/>
    </xf>
    <xf numFmtId="37" fontId="10" fillId="2" borderId="0" xfId="14" applyNumberFormat="1"/>
    <xf numFmtId="0" fontId="46" fillId="3" borderId="31" xfId="14" applyFont="1" applyFill="1" applyBorder="1" applyAlignment="1">
      <alignment vertical="center"/>
    </xf>
    <xf numFmtId="0" fontId="6" fillId="3" borderId="54" xfId="14" applyFont="1" applyFill="1" applyBorder="1" applyAlignment="1">
      <alignment vertical="center"/>
    </xf>
    <xf numFmtId="0" fontId="82" fillId="8" borderId="80" xfId="14" applyFont="1" applyFill="1" applyBorder="1" applyAlignment="1">
      <alignment vertical="center"/>
    </xf>
    <xf numFmtId="0" fontId="82" fillId="8" borderId="55" xfId="14" applyFont="1" applyFill="1" applyBorder="1" applyAlignment="1">
      <alignment vertical="center"/>
    </xf>
    <xf numFmtId="0" fontId="82" fillId="8" borderId="76" xfId="14" applyFont="1" applyFill="1" applyBorder="1" applyAlignment="1">
      <alignment vertical="center"/>
    </xf>
    <xf numFmtId="166" fontId="82" fillId="8" borderId="77" xfId="19" applyNumberFormat="1" applyFont="1" applyFill="1" applyBorder="1" applyAlignment="1">
      <alignment vertical="center"/>
    </xf>
    <xf numFmtId="37" fontId="41" fillId="8" borderId="57" xfId="14" applyNumberFormat="1" applyFont="1" applyFill="1" applyBorder="1" applyAlignment="1">
      <alignment vertical="center"/>
    </xf>
    <xf numFmtId="0" fontId="9" fillId="2" borderId="54" xfId="14" applyFont="1" applyBorder="1" applyAlignment="1">
      <alignment horizontal="left" vertical="center"/>
    </xf>
    <xf numFmtId="0" fontId="9" fillId="2" borderId="80" xfId="14" applyFont="1" applyBorder="1"/>
    <xf numFmtId="0" fontId="44" fillId="2" borderId="55" xfId="14" applyFont="1" applyBorder="1" applyAlignment="1">
      <alignment horizontal="left" vertical="center" indent="1"/>
    </xf>
    <xf numFmtId="37" fontId="44" fillId="2" borderId="76" xfId="14" applyNumberFormat="1" applyFont="1" applyBorder="1" applyAlignment="1">
      <alignment horizontal="right" vertical="center"/>
    </xf>
    <xf numFmtId="0" fontId="41" fillId="2" borderId="76" xfId="14" applyFont="1" applyBorder="1" applyAlignment="1">
      <alignment horizontal="center" vertical="center"/>
    </xf>
    <xf numFmtId="166" fontId="41" fillId="2" borderId="77" xfId="19" applyNumberFormat="1" applyFont="1" applyFill="1" applyBorder="1" applyAlignment="1">
      <alignment horizontal="right" vertical="center" indent="1"/>
    </xf>
    <xf numFmtId="37" fontId="9" fillId="2" borderId="57" xfId="14" applyNumberFormat="1" applyFont="1" applyBorder="1"/>
    <xf numFmtId="0" fontId="41" fillId="2" borderId="54" xfId="14" applyFont="1" applyBorder="1" applyAlignment="1">
      <alignment horizontal="center" vertical="center"/>
    </xf>
    <xf numFmtId="0" fontId="41" fillId="2" borderId="80" xfId="14" applyFont="1" applyBorder="1"/>
    <xf numFmtId="37" fontId="41" fillId="2" borderId="76" xfId="14" applyNumberFormat="1" applyFont="1" applyBorder="1" applyAlignment="1">
      <alignment horizontal="right" vertical="center"/>
    </xf>
    <xf numFmtId="37" fontId="41" fillId="3" borderId="77" xfId="19" applyNumberFormat="1" applyFont="1" applyFill="1" applyBorder="1" applyAlignment="1">
      <alignment vertical="center"/>
    </xf>
    <xf numFmtId="37" fontId="41" fillId="3" borderId="79" xfId="19" applyNumberFormat="1" applyFont="1" applyFill="1" applyBorder="1" applyAlignment="1">
      <alignment vertical="center"/>
    </xf>
    <xf numFmtId="37" fontId="41" fillId="3" borderId="81" xfId="19" applyNumberFormat="1" applyFont="1" applyFill="1" applyBorder="1" applyAlignment="1">
      <alignment vertical="center"/>
    </xf>
    <xf numFmtId="43" fontId="0" fillId="2" borderId="0" xfId="19" applyFont="1"/>
    <xf numFmtId="37" fontId="44" fillId="2" borderId="60" xfId="14" applyNumberFormat="1" applyFont="1" applyBorder="1" applyAlignment="1">
      <alignment horizontal="right" vertical="center"/>
    </xf>
    <xf numFmtId="166" fontId="41" fillId="2" borderId="76" xfId="19" applyNumberFormat="1" applyFont="1" applyFill="1" applyBorder="1" applyAlignment="1">
      <alignment horizontal="right" vertical="center" indent="1"/>
    </xf>
    <xf numFmtId="37" fontId="9" fillId="3" borderId="63" xfId="14" applyNumberFormat="1" applyFont="1" applyFill="1" applyBorder="1" applyAlignment="1">
      <alignment horizontal="right" vertical="center"/>
    </xf>
    <xf numFmtId="2" fontId="10" fillId="2" borderId="0" xfId="14" applyNumberFormat="1"/>
    <xf numFmtId="0" fontId="41" fillId="2" borderId="55" xfId="14" applyFont="1" applyBorder="1" applyAlignment="1">
      <alignment horizontal="left" vertical="center" indent="1"/>
    </xf>
    <xf numFmtId="0" fontId="10" fillId="2" borderId="0" xfId="14" applyAlignment="1">
      <alignment horizontal="center"/>
    </xf>
    <xf numFmtId="0" fontId="4" fillId="2" borderId="85" xfId="14" applyFont="1" applyBorder="1" applyAlignment="1">
      <alignment vertical="center"/>
    </xf>
    <xf numFmtId="0" fontId="4" fillId="2" borderId="86" xfId="14" applyFont="1" applyBorder="1" applyAlignment="1">
      <alignment vertical="center"/>
    </xf>
    <xf numFmtId="37" fontId="4" fillId="2" borderId="86" xfId="14" applyNumberFormat="1" applyFont="1" applyBorder="1" applyAlignment="1">
      <alignment vertical="center"/>
    </xf>
    <xf numFmtId="166" fontId="4" fillId="2" borderId="86" xfId="14" applyNumberFormat="1" applyFont="1" applyBorder="1" applyAlignment="1">
      <alignment vertical="center"/>
    </xf>
    <xf numFmtId="0" fontId="4" fillId="2" borderId="86" xfId="14" applyFont="1" applyBorder="1" applyAlignment="1">
      <alignment horizontal="right" vertical="center"/>
    </xf>
    <xf numFmtId="166" fontId="4" fillId="2" borderId="87" xfId="14" applyNumberFormat="1" applyFont="1" applyBorder="1" applyAlignment="1">
      <alignment vertical="center"/>
    </xf>
    <xf numFmtId="0" fontId="41" fillId="2" borderId="0" xfId="14" applyFont="1" applyAlignment="1">
      <alignment vertical="center"/>
    </xf>
    <xf numFmtId="41" fontId="0" fillId="2" borderId="0" xfId="18" applyFont="1"/>
    <xf numFmtId="0" fontId="41" fillId="2" borderId="0" xfId="14" applyFont="1" applyAlignment="1">
      <alignment horizontal="center" vertical="center"/>
    </xf>
    <xf numFmtId="0" fontId="41" fillId="2" borderId="0" xfId="14" applyFont="1" applyAlignment="1">
      <alignment horizontal="center"/>
    </xf>
    <xf numFmtId="0" fontId="5" fillId="2" borderId="0" xfId="14" applyFont="1" applyAlignment="1">
      <alignment horizontal="center"/>
    </xf>
    <xf numFmtId="41" fontId="10" fillId="2" borderId="0" xfId="14" applyNumberFormat="1" applyAlignment="1">
      <alignment horizontal="center"/>
    </xf>
    <xf numFmtId="41" fontId="0" fillId="2" borderId="0" xfId="18" applyFont="1" applyAlignment="1">
      <alignment horizontal="right"/>
    </xf>
    <xf numFmtId="41" fontId="0" fillId="2" borderId="0" xfId="18" applyFont="1" applyAlignment="1">
      <alignment horizontal="center"/>
    </xf>
    <xf numFmtId="0" fontId="44" fillId="2" borderId="0" xfId="14" applyFont="1" applyAlignment="1">
      <alignment horizontal="center"/>
    </xf>
    <xf numFmtId="0" fontId="44" fillId="2" borderId="0" xfId="14" applyFont="1" applyAlignment="1">
      <alignment horizontal="center" vertical="center"/>
    </xf>
    <xf numFmtId="0" fontId="10" fillId="6" borderId="0" xfId="0" applyFont="1" applyFill="1" applyAlignment="1"/>
    <xf numFmtId="166" fontId="2" fillId="0" borderId="0" xfId="1" applyNumberFormat="1" applyFont="1" applyAlignment="1" applyProtection="1">
      <alignment horizontal="center" vertical="center"/>
    </xf>
    <xf numFmtId="166" fontId="7" fillId="0" borderId="11" xfId="1" applyNumberFormat="1" applyFont="1" applyBorder="1" applyAlignment="1" applyProtection="1">
      <alignment horizontal="center" vertical="center" wrapText="1"/>
    </xf>
    <xf numFmtId="166" fontId="8" fillId="0" borderId="11" xfId="1" applyNumberFormat="1" applyFont="1" applyBorder="1" applyAlignment="1" applyProtection="1">
      <alignment horizontal="center" vertical="center" wrapText="1"/>
    </xf>
    <xf numFmtId="166" fontId="9" fillId="0" borderId="9" xfId="1" applyNumberFormat="1" applyFont="1" applyBorder="1" applyAlignment="1" applyProtection="1">
      <alignment vertical="center" wrapText="1"/>
    </xf>
    <xf numFmtId="166" fontId="2" fillId="0" borderId="11" xfId="1" applyNumberFormat="1" applyFont="1" applyBorder="1" applyAlignment="1" applyProtection="1">
      <alignment horizontal="center" vertical="center" wrapText="1"/>
    </xf>
    <xf numFmtId="166" fontId="9" fillId="0" borderId="18" xfId="1" applyNumberFormat="1" applyFont="1" applyBorder="1" applyAlignment="1" applyProtection="1">
      <alignment vertical="center" wrapText="1"/>
    </xf>
    <xf numFmtId="166" fontId="2" fillId="0" borderId="1" xfId="1" applyNumberFormat="1" applyFont="1" applyBorder="1" applyAlignment="1" applyProtection="1">
      <alignment horizontal="center" vertical="center" wrapText="1"/>
    </xf>
    <xf numFmtId="166" fontId="14" fillId="0" borderId="15" xfId="1" applyNumberFormat="1" applyFont="1" applyBorder="1" applyAlignment="1" applyProtection="1">
      <alignment horizontal="center" vertical="center"/>
    </xf>
    <xf numFmtId="41" fontId="1" fillId="0" borderId="0" xfId="1" applyNumberFormat="1" applyFont="1" applyAlignment="1" applyProtection="1">
      <alignment horizontal="left" vertical="center"/>
    </xf>
    <xf numFmtId="166" fontId="1" fillId="0" borderId="0" xfId="3" applyNumberFormat="1" applyFont="1" applyAlignment="1" applyProtection="1">
      <alignment horizontal="right" vertical="center"/>
    </xf>
    <xf numFmtId="41" fontId="1" fillId="0" borderId="0" xfId="1" applyNumberFormat="1" applyFont="1" applyAlignment="1" applyProtection="1">
      <alignment horizontal="left" vertical="top"/>
    </xf>
    <xf numFmtId="166" fontId="1" fillId="0" borderId="0" xfId="1" applyNumberFormat="1" applyFont="1" applyAlignment="1" applyProtection="1">
      <alignment horizontal="left" vertical="top"/>
    </xf>
    <xf numFmtId="0" fontId="2" fillId="0" borderId="0" xfId="1" applyFont="1" applyAlignment="1" applyProtection="1">
      <alignment horizontal="right" vertical="center" wrapText="1"/>
    </xf>
    <xf numFmtId="166" fontId="8" fillId="0" borderId="1" xfId="1" applyNumberFormat="1" applyFont="1" applyBorder="1" applyAlignment="1" applyProtection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166" fontId="1" fillId="0" borderId="15" xfId="0" applyNumberFormat="1" applyFont="1" applyBorder="1" applyAlignment="1">
      <alignment horizontal="left" vertical="center"/>
    </xf>
    <xf numFmtId="0" fontId="8" fillId="0" borderId="15" xfId="1" applyFont="1" applyBorder="1" applyAlignment="1" applyProtection="1">
      <alignment horizontal="left" vertical="center" wrapText="1"/>
    </xf>
    <xf numFmtId="166" fontId="2" fillId="0" borderId="15" xfId="1" applyNumberFormat="1" applyFont="1" applyBorder="1" applyAlignment="1" applyProtection="1">
      <alignment horizontal="center" vertical="center" wrapText="1"/>
    </xf>
    <xf numFmtId="166" fontId="18" fillId="0" borderId="24" xfId="0" applyNumberFormat="1" applyFont="1" applyBorder="1" applyAlignment="1">
      <alignment horizontal="left" vertical="center"/>
    </xf>
    <xf numFmtId="166" fontId="16" fillId="0" borderId="24" xfId="2" applyNumberFormat="1" applyFont="1" applyBorder="1" applyAlignment="1" applyProtection="1">
      <alignment horizontal="left" vertical="center"/>
    </xf>
    <xf numFmtId="166" fontId="18" fillId="0" borderId="24" xfId="2" applyNumberFormat="1" applyFont="1" applyBorder="1" applyAlignment="1" applyProtection="1">
      <alignment horizontal="left" vertical="center"/>
    </xf>
    <xf numFmtId="166" fontId="16" fillId="0" borderId="27" xfId="2" applyNumberFormat="1" applyFont="1" applyBorder="1" applyAlignment="1" applyProtection="1">
      <alignment horizontal="left" vertical="center"/>
    </xf>
    <xf numFmtId="0" fontId="11" fillId="0" borderId="15" xfId="1" applyFont="1" applyBorder="1" applyAlignment="1" applyProtection="1">
      <alignment horizontal="center" vertical="center"/>
    </xf>
    <xf numFmtId="41" fontId="12" fillId="0" borderId="15" xfId="1" applyNumberFormat="1" applyFont="1" applyBorder="1" applyAlignment="1" applyProtection="1">
      <alignment horizontal="center" vertical="center"/>
    </xf>
    <xf numFmtId="43" fontId="12" fillId="0" borderId="15" xfId="1" applyNumberFormat="1" applyFont="1" applyBorder="1" applyAlignment="1" applyProtection="1">
      <alignment horizontal="left" vertical="center"/>
    </xf>
    <xf numFmtId="166" fontId="12" fillId="0" borderId="15" xfId="2" applyNumberFormat="1" applyFont="1" applyBorder="1" applyAlignment="1" applyProtection="1">
      <alignment horizontal="left" vertical="center"/>
    </xf>
    <xf numFmtId="41" fontId="12" fillId="0" borderId="15" xfId="1" applyNumberFormat="1" applyFont="1" applyBorder="1" applyAlignment="1" applyProtection="1">
      <alignment horizontal="left" vertical="center"/>
    </xf>
    <xf numFmtId="0" fontId="1" fillId="0" borderId="15" xfId="1" applyFont="1" applyBorder="1" applyAlignment="1" applyProtection="1">
      <alignment horizontal="right" vertical="center"/>
    </xf>
    <xf numFmtId="41" fontId="1" fillId="0" borderId="0" xfId="1" applyNumberFormat="1" applyFont="1" applyAlignment="1" applyProtection="1">
      <alignment vertical="top"/>
    </xf>
    <xf numFmtId="41" fontId="1" fillId="0" borderId="0" xfId="1" applyNumberFormat="1" applyFont="1" applyAlignment="1" applyProtection="1">
      <alignment vertical="center"/>
    </xf>
    <xf numFmtId="166" fontId="12" fillId="0" borderId="15" xfId="1" applyNumberFormat="1" applyFont="1" applyBorder="1" applyAlignment="1" applyProtection="1">
      <alignment horizontal="left" vertical="center"/>
    </xf>
    <xf numFmtId="0" fontId="1" fillId="9" borderId="96" xfId="1" applyFont="1" applyFill="1" applyBorder="1" applyAlignment="1" applyProtection="1">
      <alignment horizontal="left" vertical="top"/>
    </xf>
    <xf numFmtId="0" fontId="1" fillId="9" borderId="159" xfId="1" applyFont="1" applyFill="1" applyBorder="1" applyAlignment="1" applyProtection="1">
      <alignment horizontal="left" vertical="top"/>
    </xf>
    <xf numFmtId="0" fontId="1" fillId="9" borderId="115" xfId="1" applyFont="1" applyFill="1" applyBorder="1" applyAlignment="1" applyProtection="1">
      <alignment horizontal="left" vertical="top"/>
    </xf>
    <xf numFmtId="0" fontId="1" fillId="9" borderId="100" xfId="1" applyFont="1" applyFill="1" applyBorder="1" applyAlignment="1" applyProtection="1">
      <alignment horizontal="left" vertical="top"/>
    </xf>
    <xf numFmtId="0" fontId="1" fillId="9" borderId="105" xfId="1" applyFont="1" applyFill="1" applyBorder="1" applyAlignment="1" applyProtection="1">
      <alignment horizontal="left" vertical="top"/>
    </xf>
    <xf numFmtId="0" fontId="1" fillId="9" borderId="91" xfId="1" applyFont="1" applyFill="1" applyBorder="1" applyAlignment="1" applyProtection="1">
      <alignment horizontal="left" vertical="top" wrapText="1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165" fontId="2" fillId="0" borderId="0" xfId="1" applyNumberFormat="1" applyFont="1" applyAlignment="1" applyProtection="1">
      <alignment horizontal="center" vertical="center" wrapText="1"/>
    </xf>
    <xf numFmtId="0" fontId="2" fillId="0" borderId="0" xfId="1" applyFont="1" applyAlignment="1" applyProtection="1">
      <alignment horizontal="center" vertical="center" wrapText="1"/>
    </xf>
    <xf numFmtId="41" fontId="2" fillId="0" borderId="9" xfId="1" applyNumberFormat="1" applyFont="1" applyBorder="1" applyAlignment="1" applyProtection="1">
      <alignment horizontal="center" vertical="center" wrapText="1"/>
    </xf>
    <xf numFmtId="0" fontId="8" fillId="0" borderId="0" xfId="1" applyFont="1" applyAlignment="1" applyProtection="1">
      <alignment horizontal="center" vertical="center" wrapText="1"/>
    </xf>
    <xf numFmtId="0" fontId="8" fillId="0" borderId="0" xfId="1" applyFont="1" applyAlignment="1" applyProtection="1">
      <alignment vertical="center" wrapText="1"/>
    </xf>
    <xf numFmtId="0" fontId="8" fillId="0" borderId="16" xfId="1" applyFont="1" applyBorder="1" applyAlignment="1" applyProtection="1">
      <alignment horizontal="center" vertical="center" wrapText="1"/>
    </xf>
    <xf numFmtId="0" fontId="8" fillId="0" borderId="22" xfId="1" applyFont="1" applyBorder="1" applyAlignment="1" applyProtection="1">
      <alignment horizontal="center" vertical="center" wrapText="1"/>
    </xf>
    <xf numFmtId="0" fontId="88" fillId="0" borderId="0" xfId="0" applyFont="1" applyAlignment="1">
      <alignment horizontal="justify" vertical="center" readingOrder="1"/>
    </xf>
    <xf numFmtId="0" fontId="8" fillId="0" borderId="6" xfId="1" applyFont="1" applyBorder="1" applyAlignment="1" applyProtection="1">
      <alignment vertical="center" wrapText="1"/>
    </xf>
    <xf numFmtId="0" fontId="8" fillId="0" borderId="0" xfId="0" applyFont="1" applyAlignment="1">
      <alignment horizontal="justify" vertical="center" readingOrder="1"/>
    </xf>
    <xf numFmtId="0" fontId="90" fillId="0" borderId="0" xfId="0" applyFont="1" applyAlignment="1">
      <alignment horizontal="justify" vertical="center" readingOrder="1"/>
    </xf>
    <xf numFmtId="0" fontId="2" fillId="0" borderId="0" xfId="1" applyFont="1" applyAlignment="1" applyProtection="1">
      <alignment vertical="center" wrapText="1"/>
    </xf>
    <xf numFmtId="41" fontId="2" fillId="0" borderId="18" xfId="1" applyNumberFormat="1" applyFont="1" applyBorder="1" applyAlignment="1" applyProtection="1">
      <alignment horizontal="center" vertical="center" wrapText="1"/>
    </xf>
    <xf numFmtId="0" fontId="89" fillId="0" borderId="0" xfId="0" applyFont="1">
      <alignment vertical="center"/>
    </xf>
    <xf numFmtId="0" fontId="3" fillId="2" borderId="15" xfId="21" applyFont="1" applyBorder="1" applyAlignment="1">
      <alignment horizontal="center" vertical="center" wrapText="1"/>
    </xf>
    <xf numFmtId="176" fontId="3" fillId="2" borderId="15" xfId="22" applyNumberFormat="1" applyFont="1" applyBorder="1" applyAlignment="1">
      <alignment vertical="center" wrapText="1"/>
    </xf>
    <xf numFmtId="0" fontId="16" fillId="0" borderId="21" xfId="0" applyFont="1" applyBorder="1" applyAlignment="1">
      <alignment horizontal="center" vertical="center" wrapText="1"/>
    </xf>
    <xf numFmtId="0" fontId="27" fillId="0" borderId="19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4" fontId="64" fillId="0" borderId="45" xfId="0" applyNumberFormat="1" applyFont="1" applyBorder="1" applyAlignment="1">
      <alignment horizontal="right" vertical="center" shrinkToFit="1"/>
    </xf>
    <xf numFmtId="4" fontId="16" fillId="0" borderId="17" xfId="0" applyNumberFormat="1" applyFont="1" applyBorder="1" applyAlignment="1">
      <alignment horizontal="right" vertical="center" shrinkToFit="1"/>
    </xf>
    <xf numFmtId="0" fontId="16" fillId="0" borderId="17" xfId="0" applyFont="1" applyBorder="1" applyAlignment="1">
      <alignment vertical="center" wrapText="1"/>
    </xf>
    <xf numFmtId="0" fontId="27" fillId="0" borderId="16" xfId="0" applyFont="1" applyBorder="1" applyAlignment="1">
      <alignment horizontal="right" vertical="center" wrapText="1"/>
    </xf>
    <xf numFmtId="0" fontId="27" fillId="0" borderId="12" xfId="0" applyFont="1" applyBorder="1" applyAlignment="1">
      <alignment horizontal="right" vertical="center" wrapText="1"/>
    </xf>
    <xf numFmtId="0" fontId="16" fillId="0" borderId="17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right" vertical="center" wrapText="1"/>
    </xf>
    <xf numFmtId="0" fontId="27" fillId="0" borderId="21" xfId="0" applyFont="1" applyBorder="1" applyAlignment="1">
      <alignment horizontal="left" vertical="center" wrapText="1"/>
    </xf>
    <xf numFmtId="0" fontId="10" fillId="0" borderId="0" xfId="9" applyProtection="1"/>
    <xf numFmtId="0" fontId="8" fillId="3" borderId="0" xfId="0" applyFont="1" applyFill="1" applyAlignment="1"/>
    <xf numFmtId="3" fontId="10" fillId="3" borderId="0" xfId="0" applyNumberFormat="1" applyFont="1" applyFill="1" applyAlignment="1"/>
    <xf numFmtId="0" fontId="10" fillId="3" borderId="0" xfId="0" applyFont="1" applyFill="1" applyAlignment="1"/>
    <xf numFmtId="0" fontId="10" fillId="3" borderId="0" xfId="0" applyFont="1" applyFill="1" applyAlignment="1">
      <alignment horizontal="right"/>
    </xf>
    <xf numFmtId="0" fontId="73" fillId="3" borderId="0" xfId="0" applyFont="1" applyFill="1" applyAlignment="1"/>
    <xf numFmtId="37" fontId="10" fillId="0" borderId="0" xfId="9" applyNumberFormat="1" applyProtection="1"/>
    <xf numFmtId="0" fontId="10" fillId="3" borderId="0" xfId="0" quotePrefix="1" applyFont="1" applyFill="1" applyAlignment="1">
      <alignment horizontal="left" indent="1"/>
    </xf>
    <xf numFmtId="0" fontId="10" fillId="3" borderId="0" xfId="0" applyFont="1" applyFill="1" applyAlignment="1">
      <alignment horizontal="left" indent="1"/>
    </xf>
    <xf numFmtId="0" fontId="5" fillId="8" borderId="94" xfId="0" applyFont="1" applyFill="1" applyBorder="1" applyAlignment="1">
      <alignment horizontal="center" vertical="center" wrapText="1"/>
    </xf>
    <xf numFmtId="0" fontId="5" fillId="8" borderId="161" xfId="0" applyFont="1" applyFill="1" applyBorder="1" applyAlignment="1">
      <alignment horizontal="center" vertical="center" wrapText="1"/>
    </xf>
    <xf numFmtId="0" fontId="5" fillId="8" borderId="24" xfId="0" applyFont="1" applyFill="1" applyBorder="1" applyAlignment="1">
      <alignment horizontal="center" vertical="center" wrapText="1"/>
    </xf>
    <xf numFmtId="0" fontId="5" fillId="8" borderId="81" xfId="0" applyFont="1" applyFill="1" applyBorder="1" applyAlignment="1">
      <alignment horizontal="center" vertical="center" wrapText="1"/>
    </xf>
    <xf numFmtId="0" fontId="5" fillId="8" borderId="102" xfId="0" applyFont="1" applyFill="1" applyBorder="1" applyAlignment="1">
      <alignment horizontal="center" vertical="center" wrapText="1"/>
    </xf>
    <xf numFmtId="0" fontId="5" fillId="8" borderId="164" xfId="0" applyFont="1" applyFill="1" applyBorder="1" applyAlignment="1">
      <alignment horizontal="center" vertical="center" wrapText="1"/>
    </xf>
    <xf numFmtId="0" fontId="5" fillId="3" borderId="54" xfId="0" applyFont="1" applyFill="1" applyBorder="1">
      <alignment vertical="center"/>
    </xf>
    <xf numFmtId="0" fontId="5" fillId="3" borderId="55" xfId="0" applyFont="1" applyFill="1" applyBorder="1">
      <alignment vertical="center"/>
    </xf>
    <xf numFmtId="0" fontId="5" fillId="3" borderId="76" xfId="0" applyFont="1" applyFill="1" applyBorder="1">
      <alignment vertical="center"/>
    </xf>
    <xf numFmtId="0" fontId="5" fillId="3" borderId="79" xfId="0" applyFont="1" applyFill="1" applyBorder="1">
      <alignment vertical="center"/>
    </xf>
    <xf numFmtId="37" fontId="6" fillId="3" borderId="61" xfId="0" applyNumberFormat="1" applyFont="1" applyFill="1" applyBorder="1">
      <alignment vertical="center"/>
    </xf>
    <xf numFmtId="37" fontId="6" fillId="3" borderId="57" xfId="0" applyNumberFormat="1" applyFont="1" applyFill="1" applyBorder="1">
      <alignment vertical="center"/>
    </xf>
    <xf numFmtId="0" fontId="10" fillId="3" borderId="54" xfId="0" applyFont="1" applyFill="1" applyBorder="1" applyAlignment="1">
      <alignment horizontal="center" vertical="center"/>
    </xf>
    <xf numFmtId="0" fontId="10" fillId="3" borderId="60" xfId="16" applyFont="1" applyFill="1" applyBorder="1" applyAlignment="1">
      <alignment horizontal="left" vertical="center"/>
    </xf>
    <xf numFmtId="0" fontId="10" fillId="3" borderId="75" xfId="0" applyFont="1" applyFill="1" applyBorder="1">
      <alignment vertical="center"/>
    </xf>
    <xf numFmtId="168" fontId="10" fillId="3" borderId="76" xfId="19" applyNumberFormat="1" applyFont="1" applyFill="1" applyBorder="1" applyAlignment="1">
      <alignment vertical="center"/>
    </xf>
    <xf numFmtId="43" fontId="10" fillId="3" borderId="76" xfId="19" applyFont="1" applyFill="1" applyBorder="1" applyAlignment="1">
      <alignment horizontal="center" vertical="center"/>
    </xf>
    <xf numFmtId="37" fontId="10" fillId="3" borderId="76" xfId="19" applyNumberFormat="1" applyFont="1" applyFill="1" applyBorder="1" applyAlignment="1">
      <alignment vertical="center"/>
    </xf>
    <xf numFmtId="37" fontId="10" fillId="3" borderId="79" xfId="19" applyNumberFormat="1" applyFont="1" applyFill="1" applyBorder="1" applyAlignment="1">
      <alignment vertical="center"/>
    </xf>
    <xf numFmtId="0" fontId="10" fillId="3" borderId="60" xfId="0" applyFont="1" applyFill="1" applyBorder="1">
      <alignment vertical="center"/>
    </xf>
    <xf numFmtId="0" fontId="10" fillId="3" borderId="72" xfId="0" applyFont="1" applyFill="1" applyBorder="1">
      <alignment vertical="center"/>
    </xf>
    <xf numFmtId="168" fontId="10" fillId="3" borderId="61" xfId="0" applyNumberFormat="1" applyFont="1" applyFill="1" applyBorder="1">
      <alignment vertical="center"/>
    </xf>
    <xf numFmtId="43" fontId="10" fillId="3" borderId="61" xfId="19" applyFont="1" applyFill="1" applyBorder="1" applyAlignment="1">
      <alignment horizontal="center" vertical="center"/>
    </xf>
    <xf numFmtId="37" fontId="10" fillId="3" borderId="61" xfId="19" applyNumberFormat="1" applyFont="1" applyFill="1" applyBorder="1" applyAlignment="1">
      <alignment vertical="center"/>
    </xf>
    <xf numFmtId="37" fontId="10" fillId="3" borderId="63" xfId="19" applyNumberFormat="1" applyFont="1" applyFill="1" applyBorder="1" applyAlignment="1">
      <alignment vertical="center"/>
    </xf>
    <xf numFmtId="168" fontId="10" fillId="3" borderId="77" xfId="19" applyNumberFormat="1" applyFont="1" applyFill="1" applyBorder="1" applyAlignment="1">
      <alignment vertical="center"/>
    </xf>
    <xf numFmtId="37" fontId="10" fillId="3" borderId="77" xfId="19" applyNumberFormat="1" applyFont="1" applyFill="1" applyBorder="1" applyAlignment="1">
      <alignment vertical="center"/>
    </xf>
    <xf numFmtId="37" fontId="10" fillId="3" borderId="57" xfId="19" applyNumberFormat="1" applyFont="1" applyFill="1" applyBorder="1" applyAlignment="1">
      <alignment vertical="center"/>
    </xf>
    <xf numFmtId="43" fontId="10" fillId="3" borderId="24" xfId="19" applyFont="1" applyFill="1" applyBorder="1" applyAlignment="1">
      <alignment horizontal="center" vertical="center"/>
    </xf>
    <xf numFmtId="43" fontId="10" fillId="3" borderId="25" xfId="19" applyFont="1" applyFill="1" applyBorder="1" applyAlignment="1">
      <alignment horizontal="center" vertical="center"/>
    </xf>
    <xf numFmtId="37" fontId="6" fillId="3" borderId="61" xfId="19" applyNumberFormat="1" applyFont="1" applyFill="1" applyBorder="1" applyAlignment="1">
      <alignment vertical="center"/>
    </xf>
    <xf numFmtId="37" fontId="6" fillId="3" borderId="57" xfId="19" applyNumberFormat="1" applyFont="1" applyFill="1" applyBorder="1" applyAlignment="1">
      <alignment vertical="center"/>
    </xf>
    <xf numFmtId="0" fontId="10" fillId="3" borderId="59" xfId="14" applyFill="1" applyBorder="1" applyAlignment="1">
      <alignment horizontal="center"/>
    </xf>
    <xf numFmtId="0" fontId="10" fillId="3" borderId="60" xfId="14" applyFill="1" applyBorder="1" applyAlignment="1">
      <alignment horizontal="left"/>
    </xf>
    <xf numFmtId="0" fontId="10" fillId="3" borderId="72" xfId="14" applyFill="1" applyBorder="1"/>
    <xf numFmtId="168" fontId="10" fillId="3" borderId="61" xfId="18" applyNumberFormat="1" applyFont="1" applyFill="1" applyBorder="1" applyAlignment="1"/>
    <xf numFmtId="168" fontId="10" fillId="3" borderId="62" xfId="18" applyNumberFormat="1" applyFont="1" applyFill="1" applyBorder="1" applyAlignment="1"/>
    <xf numFmtId="0" fontId="10" fillId="3" borderId="133" xfId="14" applyFill="1" applyBorder="1" applyAlignment="1">
      <alignment horizontal="center"/>
    </xf>
    <xf numFmtId="0" fontId="10" fillId="3" borderId="134" xfId="14" applyFill="1" applyBorder="1" applyAlignment="1">
      <alignment horizontal="center"/>
    </xf>
    <xf numFmtId="37" fontId="10" fillId="3" borderId="61" xfId="19" applyNumberFormat="1" applyFont="1" applyFill="1" applyBorder="1" applyAlignment="1">
      <alignment horizontal="right"/>
    </xf>
    <xf numFmtId="37" fontId="10" fillId="3" borderId="63" xfId="19" applyNumberFormat="1" applyFont="1" applyFill="1" applyBorder="1" applyAlignment="1">
      <alignment horizontal="right"/>
    </xf>
    <xf numFmtId="0" fontId="10" fillId="3" borderId="64" xfId="14" applyFill="1" applyBorder="1" applyAlignment="1">
      <alignment horizontal="left"/>
    </xf>
    <xf numFmtId="0" fontId="10" fillId="3" borderId="74" xfId="14" applyFill="1" applyBorder="1"/>
    <xf numFmtId="168" fontId="10" fillId="3" borderId="133" xfId="18" applyNumberFormat="1" applyFont="1" applyFill="1" applyBorder="1" applyAlignment="1"/>
    <xf numFmtId="37" fontId="10" fillId="3" borderId="15" xfId="0" applyNumberFormat="1" applyFont="1" applyFill="1" applyBorder="1">
      <alignment vertical="center"/>
    </xf>
    <xf numFmtId="37" fontId="5" fillId="3" borderId="165" xfId="0" applyNumberFormat="1" applyFont="1" applyFill="1" applyBorder="1">
      <alignment vertical="center"/>
    </xf>
    <xf numFmtId="0" fontId="5" fillId="3" borderId="69" xfId="0" applyFont="1" applyFill="1" applyBorder="1">
      <alignment vertical="center"/>
    </xf>
    <xf numFmtId="0" fontId="5" fillId="3" borderId="70" xfId="0" applyFont="1" applyFill="1" applyBorder="1">
      <alignment vertical="center"/>
    </xf>
    <xf numFmtId="0" fontId="5" fillId="3" borderId="166" xfId="0" applyFont="1" applyFill="1" applyBorder="1">
      <alignment vertical="center"/>
    </xf>
    <xf numFmtId="0" fontId="5" fillId="3" borderId="167" xfId="0" applyFont="1" applyFill="1" applyBorder="1">
      <alignment vertical="center"/>
    </xf>
    <xf numFmtId="0" fontId="5" fillId="3" borderId="78" xfId="0" applyFont="1" applyFill="1" applyBorder="1">
      <alignment vertical="center"/>
    </xf>
    <xf numFmtId="0" fontId="5" fillId="3" borderId="75" xfId="0" applyFont="1" applyFill="1" applyBorder="1">
      <alignment vertical="center"/>
    </xf>
    <xf numFmtId="0" fontId="10" fillId="3" borderId="59" xfId="0" applyFont="1" applyFill="1" applyBorder="1" applyAlignment="1">
      <alignment horizontal="center" vertical="center"/>
    </xf>
    <xf numFmtId="0" fontId="10" fillId="0" borderId="60" xfId="0" applyFont="1" applyBorder="1" applyAlignment="1">
      <alignment horizontal="left" vertical="center"/>
    </xf>
    <xf numFmtId="0" fontId="10" fillId="0" borderId="72" xfId="0" applyFont="1" applyBorder="1">
      <alignment vertical="center"/>
    </xf>
    <xf numFmtId="0" fontId="10" fillId="3" borderId="61" xfId="0" applyFont="1" applyFill="1" applyBorder="1" applyAlignment="1">
      <alignment horizontal="center" vertical="center"/>
    </xf>
    <xf numFmtId="37" fontId="10" fillId="3" borderId="168" xfId="0" applyNumberFormat="1" applyFont="1" applyFill="1" applyBorder="1" applyAlignment="1">
      <alignment horizontal="center" vertical="center"/>
    </xf>
    <xf numFmtId="37" fontId="10" fillId="3" borderId="59" xfId="0" applyNumberFormat="1" applyFont="1" applyFill="1" applyBorder="1" applyAlignment="1">
      <alignment horizontal="center" vertical="center"/>
    </xf>
    <xf numFmtId="37" fontId="10" fillId="3" borderId="54" xfId="0" applyNumberFormat="1" applyFont="1" applyFill="1" applyBorder="1" applyAlignment="1">
      <alignment horizontal="center" vertical="center"/>
    </xf>
    <xf numFmtId="0" fontId="10" fillId="3" borderId="80" xfId="0" applyFont="1" applyFill="1" applyBorder="1">
      <alignment vertical="center"/>
    </xf>
    <xf numFmtId="0" fontId="10" fillId="3" borderId="169" xfId="0" applyFont="1" applyFill="1" applyBorder="1">
      <alignment vertical="center"/>
    </xf>
    <xf numFmtId="168" fontId="10" fillId="3" borderId="133" xfId="0" applyNumberFormat="1" applyFont="1" applyFill="1" applyBorder="1">
      <alignment vertical="center"/>
    </xf>
    <xf numFmtId="43" fontId="10" fillId="3" borderId="133" xfId="19" applyFont="1" applyFill="1" applyBorder="1" applyAlignment="1">
      <alignment horizontal="center" vertical="center"/>
    </xf>
    <xf numFmtId="37" fontId="10" fillId="3" borderId="134" xfId="19" applyNumberFormat="1" applyFont="1" applyFill="1" applyBorder="1" applyAlignment="1">
      <alignment vertical="center"/>
    </xf>
    <xf numFmtId="37" fontId="10" fillId="3" borderId="170" xfId="19" applyNumberFormat="1" applyFont="1" applyFill="1" applyBorder="1" applyAlignment="1">
      <alignment vertical="center"/>
    </xf>
    <xf numFmtId="37" fontId="6" fillId="3" borderId="170" xfId="19" applyNumberFormat="1" applyFont="1" applyFill="1" applyBorder="1" applyAlignment="1">
      <alignment vertical="center"/>
    </xf>
    <xf numFmtId="0" fontId="10" fillId="2" borderId="60" xfId="12" applyBorder="1" applyAlignment="1">
      <alignment horizontal="left" vertical="center"/>
    </xf>
    <xf numFmtId="0" fontId="10" fillId="2" borderId="72" xfId="12" applyBorder="1" applyAlignment="1">
      <alignment vertical="center"/>
    </xf>
    <xf numFmtId="168" fontId="10" fillId="3" borderId="61" xfId="12" applyNumberFormat="1" applyFill="1" applyBorder="1" applyAlignment="1">
      <alignment vertical="center"/>
    </xf>
    <xf numFmtId="0" fontId="10" fillId="2" borderId="61" xfId="12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41" fontId="10" fillId="3" borderId="62" xfId="0" applyNumberFormat="1" applyFont="1" applyFill="1" applyBorder="1">
      <alignment vertical="center"/>
    </xf>
    <xf numFmtId="37" fontId="10" fillId="3" borderId="171" xfId="0" applyNumberFormat="1" applyFont="1" applyFill="1" applyBorder="1" applyAlignment="1">
      <alignment horizontal="center" vertical="center"/>
    </xf>
    <xf numFmtId="0" fontId="10" fillId="2" borderId="20" xfId="12" applyBorder="1" applyAlignment="1">
      <alignment horizontal="left" vertical="center"/>
    </xf>
    <xf numFmtId="0" fontId="10" fillId="2" borderId="29" xfId="12" applyBorder="1" applyAlignment="1">
      <alignment vertical="center"/>
    </xf>
    <xf numFmtId="168" fontId="10" fillId="3" borderId="27" xfId="0" applyNumberFormat="1" applyFont="1" applyFill="1" applyBorder="1">
      <alignment vertical="center"/>
    </xf>
    <xf numFmtId="168" fontId="10" fillId="3" borderId="27" xfId="12" applyNumberFormat="1" applyFill="1" applyBorder="1" applyAlignment="1">
      <alignment vertical="center"/>
    </xf>
    <xf numFmtId="0" fontId="10" fillId="2" borderId="27" xfId="12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1" fontId="10" fillId="3" borderId="65" xfId="0" applyNumberFormat="1" applyFont="1" applyFill="1" applyBorder="1">
      <alignment vertical="center"/>
    </xf>
    <xf numFmtId="37" fontId="10" fillId="3" borderId="66" xfId="19" applyNumberFormat="1" applyFont="1" applyFill="1" applyBorder="1" applyAlignment="1">
      <alignment vertical="center"/>
    </xf>
    <xf numFmtId="37" fontId="10" fillId="3" borderId="172" xfId="19" applyNumberFormat="1" applyFont="1" applyFill="1" applyBorder="1" applyAlignment="1">
      <alignment vertical="center"/>
    </xf>
    <xf numFmtId="166" fontId="10" fillId="0" borderId="0" xfId="9" applyNumberFormat="1" applyProtection="1"/>
    <xf numFmtId="41" fontId="1" fillId="0" borderId="0" xfId="8" applyFont="1" applyProtection="1"/>
    <xf numFmtId="168" fontId="10" fillId="3" borderId="61" xfId="19" applyNumberFormat="1" applyFont="1" applyFill="1" applyBorder="1" applyAlignment="1">
      <alignment vertical="center"/>
    </xf>
    <xf numFmtId="0" fontId="10" fillId="0" borderId="0" xfId="9" applyAlignment="1" applyProtection="1">
      <alignment horizontal="center"/>
    </xf>
    <xf numFmtId="41" fontId="10" fillId="0" borderId="0" xfId="9" applyNumberFormat="1" applyAlignment="1" applyProtection="1">
      <alignment horizontal="center"/>
    </xf>
    <xf numFmtId="37" fontId="10" fillId="3" borderId="67" xfId="19" applyNumberFormat="1" applyFont="1" applyFill="1" applyBorder="1" applyAlignment="1"/>
    <xf numFmtId="37" fontId="10" fillId="3" borderId="31" xfId="19" applyNumberFormat="1" applyFont="1" applyFill="1" applyBorder="1" applyAlignment="1"/>
    <xf numFmtId="3" fontId="92" fillId="3" borderId="31" xfId="0" applyNumberFormat="1" applyFont="1" applyFill="1" applyBorder="1" applyAlignment="1"/>
    <xf numFmtId="37" fontId="92" fillId="3" borderId="20" xfId="19" applyNumberFormat="1" applyFont="1" applyFill="1" applyBorder="1" applyAlignment="1"/>
    <xf numFmtId="37" fontId="5" fillId="3" borderId="68" xfId="0" applyNumberFormat="1" applyFont="1" applyFill="1" applyBorder="1">
      <alignment vertical="center"/>
    </xf>
    <xf numFmtId="41" fontId="1" fillId="0" borderId="0" xfId="8" applyFont="1" applyAlignment="1" applyProtection="1">
      <alignment horizontal="right"/>
    </xf>
    <xf numFmtId="0" fontId="5" fillId="3" borderId="54" xfId="0" applyFont="1" applyFill="1" applyBorder="1" applyAlignment="1">
      <alignment horizontal="left"/>
    </xf>
    <xf numFmtId="0" fontId="10" fillId="3" borderId="55" xfId="0" applyFont="1" applyFill="1" applyBorder="1" applyAlignment="1">
      <alignment horizontal="left"/>
    </xf>
    <xf numFmtId="0" fontId="10" fillId="3" borderId="75" xfId="0" applyFont="1" applyFill="1" applyBorder="1" applyAlignment="1"/>
    <xf numFmtId="168" fontId="10" fillId="3" borderId="76" xfId="0" applyNumberFormat="1" applyFont="1" applyFill="1" applyBorder="1" applyAlignment="1"/>
    <xf numFmtId="0" fontId="10" fillId="3" borderId="76" xfId="0" applyFont="1" applyFill="1" applyBorder="1" applyAlignment="1"/>
    <xf numFmtId="0" fontId="10" fillId="3" borderId="77" xfId="0" applyFont="1" applyFill="1" applyBorder="1" applyAlignment="1"/>
    <xf numFmtId="37" fontId="10" fillId="3" borderId="24" xfId="0" applyNumberFormat="1" applyFont="1" applyFill="1" applyBorder="1" applyAlignment="1"/>
    <xf numFmtId="37" fontId="10" fillId="3" borderId="81" xfId="0" applyNumberFormat="1" applyFont="1" applyFill="1" applyBorder="1" applyAlignment="1"/>
    <xf numFmtId="41" fontId="1" fillId="0" borderId="0" xfId="8" applyFont="1" applyAlignment="1" applyProtection="1">
      <alignment horizontal="center"/>
    </xf>
    <xf numFmtId="0" fontId="6" fillId="3" borderId="54" xfId="0" applyFont="1" applyFill="1" applyBorder="1" applyAlignment="1">
      <alignment horizontal="center" vertical="center"/>
    </xf>
    <xf numFmtId="0" fontId="6" fillId="3" borderId="55" xfId="0" applyFont="1" applyFill="1" applyBorder="1">
      <alignment vertical="center"/>
    </xf>
    <xf numFmtId="0" fontId="10" fillId="3" borderId="76" xfId="0" applyFont="1" applyFill="1" applyBorder="1" applyAlignment="1">
      <alignment horizontal="center"/>
    </xf>
    <xf numFmtId="41" fontId="10" fillId="2" borderId="77" xfId="18" applyFont="1" applyFill="1" applyBorder="1"/>
    <xf numFmtId="37" fontId="6" fillId="3" borderId="61" xfId="19" applyNumberFormat="1" applyFont="1" applyFill="1" applyBorder="1" applyAlignment="1">
      <alignment horizontal="right"/>
    </xf>
    <xf numFmtId="37" fontId="6" fillId="3" borderId="58" xfId="19" applyNumberFormat="1" applyFont="1" applyFill="1" applyBorder="1" applyAlignment="1">
      <alignment horizontal="right"/>
    </xf>
    <xf numFmtId="0" fontId="10" fillId="3" borderId="59" xfId="0" applyFont="1" applyFill="1" applyBorder="1" applyAlignment="1">
      <alignment horizontal="center"/>
    </xf>
    <xf numFmtId="0" fontId="10" fillId="3" borderId="60" xfId="0" applyFont="1" applyFill="1" applyBorder="1" applyAlignment="1"/>
    <xf numFmtId="0" fontId="10" fillId="3" borderId="72" xfId="0" applyFont="1" applyFill="1" applyBorder="1" applyAlignment="1"/>
    <xf numFmtId="168" fontId="10" fillId="3" borderId="61" xfId="0" applyNumberFormat="1" applyFont="1" applyFill="1" applyBorder="1" applyAlignment="1"/>
    <xf numFmtId="0" fontId="10" fillId="3" borderId="61" xfId="0" applyFont="1" applyFill="1" applyBorder="1" applyAlignment="1">
      <alignment horizontal="center"/>
    </xf>
    <xf numFmtId="41" fontId="10" fillId="2" borderId="62" xfId="18" applyFont="1" applyFill="1" applyBorder="1"/>
    <xf numFmtId="37" fontId="10" fillId="3" borderId="61" xfId="0" applyNumberFormat="1" applyFont="1" applyFill="1" applyBorder="1" applyAlignment="1"/>
    <xf numFmtId="0" fontId="10" fillId="3" borderId="67" xfId="0" applyFont="1" applyFill="1" applyBorder="1" applyAlignment="1"/>
    <xf numFmtId="0" fontId="10" fillId="3" borderId="31" xfId="0" applyFont="1" applyFill="1" applyBorder="1" applyAlignment="1"/>
    <xf numFmtId="1" fontId="92" fillId="3" borderId="31" xfId="12" applyNumberFormat="1" applyFont="1" applyFill="1" applyBorder="1"/>
    <xf numFmtId="0" fontId="93" fillId="3" borderId="31" xfId="0" applyFont="1" applyFill="1" applyBorder="1" applyAlignment="1"/>
    <xf numFmtId="0" fontId="10" fillId="3" borderId="31" xfId="0" applyFont="1" applyFill="1" applyBorder="1" applyAlignment="1">
      <alignment horizontal="right" indent="1"/>
    </xf>
    <xf numFmtId="37" fontId="10" fillId="3" borderId="15" xfId="0" applyNumberFormat="1" applyFont="1" applyFill="1" applyBorder="1" applyAlignment="1"/>
    <xf numFmtId="37" fontId="5" fillId="3" borderId="165" xfId="0" applyNumberFormat="1" applyFont="1" applyFill="1" applyBorder="1" applyAlignment="1"/>
    <xf numFmtId="37" fontId="5" fillId="3" borderId="163" xfId="0" applyNumberFormat="1" applyFont="1" applyFill="1" applyBorder="1" applyAlignment="1"/>
    <xf numFmtId="166" fontId="5" fillId="3" borderId="173" xfId="0" applyNumberFormat="1" applyFont="1" applyFill="1" applyBorder="1" applyAlignment="1"/>
    <xf numFmtId="3" fontId="94" fillId="3" borderId="0" xfId="0" applyNumberFormat="1" applyFont="1" applyFill="1" applyAlignment="1"/>
    <xf numFmtId="0" fontId="10" fillId="0" borderId="0" xfId="0" applyFont="1" applyAlignment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10" fillId="3" borderId="26" xfId="0" applyFont="1" applyFill="1" applyBorder="1" applyAlignment="1"/>
    <xf numFmtId="0" fontId="10" fillId="8" borderId="0" xfId="0" applyFont="1" applyFill="1" applyAlignment="1"/>
    <xf numFmtId="0" fontId="10" fillId="3" borderId="160" xfId="0" applyFont="1" applyFill="1" applyBorder="1" applyAlignment="1">
      <alignment horizontal="left" indent="1"/>
    </xf>
    <xf numFmtId="0" fontId="10" fillId="3" borderId="160" xfId="0" applyFont="1" applyFill="1" applyBorder="1" applyAlignment="1"/>
    <xf numFmtId="0" fontId="10" fillId="3" borderId="160" xfId="0" applyFont="1" applyFill="1" applyBorder="1" applyAlignment="1">
      <alignment horizontal="center"/>
    </xf>
    <xf numFmtId="37" fontId="5" fillId="3" borderId="174" xfId="0" applyNumberFormat="1" applyFont="1" applyFill="1" applyBorder="1" applyAlignment="1">
      <alignment horizontal="right"/>
    </xf>
    <xf numFmtId="0" fontId="10" fillId="3" borderId="30" xfId="0" applyFont="1" applyFill="1" applyBorder="1" applyAlignment="1">
      <alignment horizontal="left" indent="1"/>
    </xf>
    <xf numFmtId="0" fontId="10" fillId="3" borderId="32" xfId="0" applyFont="1" applyFill="1" applyBorder="1" applyAlignment="1"/>
    <xf numFmtId="37" fontId="5" fillId="3" borderId="68" xfId="0" applyNumberFormat="1" applyFont="1" applyFill="1" applyBorder="1" applyAlignment="1">
      <alignment horizontal="right"/>
    </xf>
    <xf numFmtId="0" fontId="10" fillId="3" borderId="98" xfId="0" applyFont="1" applyFill="1" applyBorder="1" applyAlignment="1">
      <alignment horizontal="left" indent="1"/>
    </xf>
    <xf numFmtId="0" fontId="10" fillId="3" borderId="83" xfId="0" applyFont="1" applyFill="1" applyBorder="1" applyAlignment="1"/>
    <xf numFmtId="0" fontId="10" fillId="3" borderId="84" xfId="0" applyFont="1" applyFill="1" applyBorder="1" applyAlignment="1"/>
    <xf numFmtId="37" fontId="5" fillId="3" borderId="173" xfId="0" applyNumberFormat="1" applyFont="1" applyFill="1" applyBorder="1" applyAlignment="1">
      <alignment horizontal="right"/>
    </xf>
    <xf numFmtId="41" fontId="10" fillId="3" borderId="0" xfId="18" applyFont="1" applyFill="1" applyAlignment="1">
      <alignment horizontal="center"/>
    </xf>
    <xf numFmtId="41" fontId="10" fillId="3" borderId="0" xfId="18" applyFont="1" applyFill="1"/>
    <xf numFmtId="0" fontId="10" fillId="8" borderId="176" xfId="0" applyFont="1" applyFill="1" applyBorder="1" applyAlignment="1"/>
    <xf numFmtId="41" fontId="10" fillId="3" borderId="89" xfId="18" applyFont="1" applyFill="1" applyBorder="1" applyAlignment="1">
      <alignment horizontal="center"/>
    </xf>
    <xf numFmtId="173" fontId="5" fillId="3" borderId="174" xfId="18" applyNumberFormat="1" applyFont="1" applyFill="1" applyBorder="1"/>
    <xf numFmtId="0" fontId="10" fillId="8" borderId="31" xfId="0" applyFont="1" applyFill="1" applyBorder="1" applyAlignment="1"/>
    <xf numFmtId="41" fontId="10" fillId="3" borderId="32" xfId="18" applyFont="1" applyFill="1" applyBorder="1" applyAlignment="1">
      <alignment horizontal="center"/>
    </xf>
    <xf numFmtId="173" fontId="5" fillId="3" borderId="68" xfId="18" applyNumberFormat="1" applyFont="1" applyFill="1" applyBorder="1"/>
    <xf numFmtId="0" fontId="10" fillId="8" borderId="34" xfId="0" applyFont="1" applyFill="1" applyBorder="1" applyAlignment="1"/>
    <xf numFmtId="41" fontId="10" fillId="3" borderId="35" xfId="18" applyFont="1" applyFill="1" applyBorder="1" applyAlignment="1">
      <alignment horizontal="center"/>
    </xf>
    <xf numFmtId="173" fontId="5" fillId="3" borderId="177" xfId="18" applyNumberFormat="1" applyFont="1" applyFill="1" applyBorder="1"/>
    <xf numFmtId="0" fontId="5" fillId="8" borderId="86" xfId="0" applyFont="1" applyFill="1" applyBorder="1" applyAlignment="1"/>
    <xf numFmtId="0" fontId="10" fillId="8" borderId="86" xfId="0" applyFont="1" applyFill="1" applyBorder="1" applyAlignment="1"/>
    <xf numFmtId="41" fontId="10" fillId="3" borderId="107" xfId="18" applyFont="1" applyFill="1" applyBorder="1" applyAlignment="1">
      <alignment horizontal="center"/>
    </xf>
    <xf numFmtId="173" fontId="5" fillId="3" borderId="87" xfId="18" applyNumberFormat="1" applyFont="1" applyFill="1" applyBorder="1"/>
    <xf numFmtId="0" fontId="10" fillId="0" borderId="0" xfId="0" applyFont="1">
      <alignment vertical="center"/>
    </xf>
    <xf numFmtId="3" fontId="10" fillId="6" borderId="0" xfId="0" applyNumberFormat="1" applyFont="1" applyFill="1" applyAlignment="1"/>
    <xf numFmtId="169" fontId="10" fillId="0" borderId="0" xfId="0" applyNumberFormat="1" applyFont="1" applyAlignment="1"/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right"/>
    </xf>
    <xf numFmtId="166" fontId="10" fillId="0" borderId="0" xfId="0" applyNumberFormat="1" applyFont="1" applyAlignment="1"/>
    <xf numFmtId="0" fontId="10" fillId="2" borderId="0" xfId="0" applyFont="1" applyFill="1" applyAlignment="1">
      <alignment horizontal="center" vertical="center" wrapText="1"/>
    </xf>
    <xf numFmtId="0" fontId="10" fillId="6" borderId="125" xfId="0" applyFont="1" applyFill="1" applyBorder="1">
      <alignment vertical="center"/>
    </xf>
    <xf numFmtId="0" fontId="10" fillId="6" borderId="132" xfId="0" applyFont="1" applyFill="1" applyBorder="1">
      <alignment vertical="center"/>
    </xf>
    <xf numFmtId="3" fontId="10" fillId="6" borderId="139" xfId="0" applyNumberFormat="1" applyFont="1" applyFill="1" applyBorder="1" applyAlignment="1">
      <alignment horizontal="center" vertical="center"/>
    </xf>
    <xf numFmtId="0" fontId="10" fillId="6" borderId="139" xfId="0" applyFont="1" applyFill="1" applyBorder="1" applyAlignment="1">
      <alignment horizontal="center" vertical="center"/>
    </xf>
    <xf numFmtId="0" fontId="10" fillId="6" borderId="139" xfId="0" applyFont="1" applyFill="1" applyBorder="1" applyAlignment="1">
      <alignment horizontal="center"/>
    </xf>
    <xf numFmtId="0" fontId="10" fillId="6" borderId="139" xfId="0" applyFont="1" applyFill="1" applyBorder="1">
      <alignment vertical="center"/>
    </xf>
    <xf numFmtId="0" fontId="10" fillId="6" borderId="140" xfId="0" applyFont="1" applyFill="1" applyBorder="1">
      <alignment vertical="center"/>
    </xf>
    <xf numFmtId="0" fontId="10" fillId="6" borderId="141" xfId="0" applyFont="1" applyFill="1" applyBorder="1" applyAlignment="1"/>
    <xf numFmtId="0" fontId="10" fillId="6" borderId="142" xfId="0" applyFont="1" applyFill="1" applyBorder="1" applyAlignment="1">
      <alignment horizontal="center"/>
    </xf>
    <xf numFmtId="0" fontId="10" fillId="6" borderId="127" xfId="0" applyFont="1" applyFill="1" applyBorder="1">
      <alignment vertical="center"/>
    </xf>
    <xf numFmtId="0" fontId="10" fillId="6" borderId="130" xfId="0" applyFont="1" applyFill="1" applyBorder="1">
      <alignment vertical="center"/>
    </xf>
    <xf numFmtId="0" fontId="10" fillId="6" borderId="128" xfId="0" applyFont="1" applyFill="1" applyBorder="1">
      <alignment vertical="center"/>
    </xf>
    <xf numFmtId="169" fontId="10" fillId="6" borderId="128" xfId="0" applyNumberFormat="1" applyFont="1" applyFill="1" applyBorder="1">
      <alignment vertical="center"/>
    </xf>
    <xf numFmtId="169" fontId="10" fillId="6" borderId="125" xfId="0" applyNumberFormat="1" applyFont="1" applyFill="1" applyBorder="1">
      <alignment vertical="center"/>
    </xf>
    <xf numFmtId="169" fontId="10" fillId="6" borderId="129" xfId="0" applyNumberFormat="1" applyFont="1" applyFill="1" applyBorder="1">
      <alignment vertical="center"/>
    </xf>
    <xf numFmtId="0" fontId="10" fillId="6" borderId="126" xfId="0" applyFont="1" applyFill="1" applyBorder="1" applyAlignment="1">
      <alignment horizontal="center"/>
    </xf>
    <xf numFmtId="0" fontId="10" fillId="6" borderId="127" xfId="0" applyFont="1" applyFill="1" applyBorder="1" applyAlignment="1">
      <alignment horizontal="left"/>
    </xf>
    <xf numFmtId="0" fontId="10" fillId="6" borderId="130" xfId="0" applyFont="1" applyFill="1" applyBorder="1" applyAlignment="1">
      <alignment horizontal="left"/>
    </xf>
    <xf numFmtId="168" fontId="10" fillId="6" borderId="139" xfId="0" applyNumberFormat="1" applyFont="1" applyFill="1" applyBorder="1" applyAlignment="1"/>
    <xf numFmtId="0" fontId="10" fillId="6" borderId="128" xfId="0" applyFont="1" applyFill="1" applyBorder="1" applyAlignment="1">
      <alignment horizontal="center"/>
    </xf>
    <xf numFmtId="169" fontId="1" fillId="6" borderId="128" xfId="0" applyNumberFormat="1" applyFont="1" applyFill="1" applyBorder="1" applyAlignment="1">
      <alignment horizontal="right"/>
    </xf>
    <xf numFmtId="41" fontId="10" fillId="2" borderId="139" xfId="0" applyNumberFormat="1" applyFont="1" applyFill="1" applyBorder="1">
      <alignment vertical="center"/>
    </xf>
    <xf numFmtId="169" fontId="10" fillId="6" borderId="129" xfId="0" applyNumberFormat="1" applyFont="1" applyFill="1" applyBorder="1" applyAlignment="1">
      <alignment horizontal="right"/>
    </xf>
    <xf numFmtId="169" fontId="10" fillId="6" borderId="128" xfId="0" applyNumberFormat="1" applyFont="1" applyFill="1" applyBorder="1" applyAlignment="1">
      <alignment horizontal="right"/>
    </xf>
    <xf numFmtId="0" fontId="10" fillId="6" borderId="127" xfId="0" applyFont="1" applyFill="1" applyBorder="1" applyAlignment="1">
      <alignment horizontal="left" vertical="center"/>
    </xf>
    <xf numFmtId="168" fontId="10" fillId="6" borderId="139" xfId="0" applyNumberFormat="1" applyFont="1" applyFill="1" applyBorder="1" applyAlignment="1">
      <alignment horizontal="right" vertical="center"/>
    </xf>
    <xf numFmtId="168" fontId="10" fillId="6" borderId="139" xfId="0" applyNumberFormat="1" applyFont="1" applyFill="1" applyBorder="1">
      <alignment vertical="center"/>
    </xf>
    <xf numFmtId="168" fontId="10" fillId="6" borderId="128" xfId="0" applyNumberFormat="1" applyFont="1" applyFill="1" applyBorder="1" applyAlignment="1"/>
    <xf numFmtId="0" fontId="10" fillId="6" borderId="131" xfId="0" applyFont="1" applyFill="1" applyBorder="1" applyAlignment="1">
      <alignment horizontal="center"/>
    </xf>
    <xf numFmtId="169" fontId="10" fillId="2" borderId="131" xfId="0" applyNumberFormat="1" applyFont="1" applyFill="1" applyBorder="1" applyAlignment="1">
      <alignment horizontal="right"/>
    </xf>
    <xf numFmtId="168" fontId="10" fillId="6" borderId="128" xfId="0" applyNumberFormat="1" applyFont="1" applyFill="1" applyBorder="1">
      <alignment vertical="center"/>
    </xf>
    <xf numFmtId="43" fontId="10" fillId="6" borderId="128" xfId="0" applyNumberFormat="1" applyFont="1" applyFill="1" applyBorder="1" applyAlignment="1">
      <alignment horizontal="center" vertical="center"/>
    </xf>
    <xf numFmtId="43" fontId="10" fillId="6" borderId="131" xfId="0" applyNumberFormat="1" applyFont="1" applyFill="1" applyBorder="1" applyAlignment="1">
      <alignment horizontal="center" vertical="center"/>
    </xf>
    <xf numFmtId="169" fontId="10" fillId="6" borderId="18" xfId="0" applyNumberFormat="1" applyFont="1" applyFill="1" applyBorder="1" applyAlignment="1">
      <alignment horizontal="right" indent="1"/>
    </xf>
    <xf numFmtId="0" fontId="10" fillId="6" borderId="130" xfId="0" applyFont="1" applyFill="1" applyBorder="1" applyAlignment="1"/>
    <xf numFmtId="168" fontId="10" fillId="6" borderId="128" xfId="0" applyNumberFormat="1" applyFont="1" applyFill="1" applyBorder="1" applyAlignment="1">
      <alignment horizontal="right"/>
    </xf>
    <xf numFmtId="169" fontId="1" fillId="2" borderId="131" xfId="0" applyNumberFormat="1" applyFont="1" applyFill="1" applyBorder="1" applyAlignment="1">
      <alignment horizontal="right"/>
    </xf>
    <xf numFmtId="0" fontId="10" fillId="6" borderId="144" xfId="0" applyFont="1" applyFill="1" applyBorder="1" applyAlignment="1">
      <alignment horizontal="left"/>
    </xf>
    <xf numFmtId="0" fontId="10" fillId="6" borderId="145" xfId="0" applyFont="1" applyFill="1" applyBorder="1" applyAlignment="1"/>
    <xf numFmtId="168" fontId="10" fillId="6" borderId="143" xfId="0" applyNumberFormat="1" applyFont="1" applyFill="1" applyBorder="1" applyAlignment="1">
      <alignment horizontal="right"/>
    </xf>
    <xf numFmtId="0" fontId="10" fillId="6" borderId="146" xfId="0" applyFont="1" applyFill="1" applyBorder="1" applyAlignment="1">
      <alignment horizontal="center"/>
    </xf>
    <xf numFmtId="41" fontId="10" fillId="6" borderId="140" xfId="0" applyNumberFormat="1" applyFont="1" applyFill="1" applyBorder="1">
      <alignment vertical="center"/>
    </xf>
    <xf numFmtId="41" fontId="10" fillId="6" borderId="148" xfId="0" applyNumberFormat="1" applyFont="1" applyFill="1" applyBorder="1">
      <alignment vertical="center"/>
    </xf>
    <xf numFmtId="169" fontId="10" fillId="6" borderId="149" xfId="0" applyNumberFormat="1" applyFont="1" applyFill="1" applyBorder="1" applyAlignment="1">
      <alignment horizontal="right"/>
    </xf>
    <xf numFmtId="169" fontId="10" fillId="6" borderId="11" xfId="0" applyNumberFormat="1" applyFont="1" applyFill="1" applyBorder="1" applyAlignment="1">
      <alignment horizontal="right"/>
    </xf>
    <xf numFmtId="0" fontId="10" fillId="6" borderId="140" xfId="0" applyFont="1" applyFill="1" applyBorder="1" applyAlignment="1">
      <alignment horizontal="center"/>
    </xf>
    <xf numFmtId="169" fontId="10" fillId="6" borderId="151" xfId="0" applyNumberFormat="1" applyFont="1" applyFill="1" applyBorder="1" applyAlignment="1">
      <alignment horizontal="right"/>
    </xf>
    <xf numFmtId="0" fontId="10" fillId="6" borderId="6" xfId="0" applyFont="1" applyFill="1" applyBorder="1" applyAlignment="1">
      <alignment horizontal="right" indent="1"/>
    </xf>
    <xf numFmtId="169" fontId="10" fillId="6" borderId="152" xfId="0" applyNumberFormat="1" applyFont="1" applyFill="1" applyBorder="1" applyAlignment="1">
      <alignment horizontal="right"/>
    </xf>
    <xf numFmtId="169" fontId="10" fillId="6" borderId="142" xfId="0" applyNumberFormat="1" applyFont="1" applyFill="1" applyBorder="1" applyAlignment="1">
      <alignment horizontal="right"/>
    </xf>
    <xf numFmtId="169" fontId="10" fillId="6" borderId="128" xfId="0" applyNumberFormat="1" applyFont="1" applyFill="1" applyBorder="1" applyAlignment="1"/>
    <xf numFmtId="169" fontId="10" fillId="6" borderId="131" xfId="0" applyNumberFormat="1" applyFont="1" applyFill="1" applyBorder="1" applyAlignment="1">
      <alignment horizontal="right"/>
    </xf>
    <xf numFmtId="41" fontId="10" fillId="0" borderId="140" xfId="0" applyNumberFormat="1" applyFont="1" applyBorder="1" applyAlignment="1"/>
    <xf numFmtId="41" fontId="10" fillId="0" borderId="131" xfId="0" applyNumberFormat="1" applyFont="1" applyBorder="1" applyAlignment="1"/>
    <xf numFmtId="0" fontId="10" fillId="6" borderId="147" xfId="0" applyFont="1" applyFill="1" applyBorder="1" applyAlignment="1"/>
    <xf numFmtId="0" fontId="10" fillId="6" borderId="18" xfId="0" applyFont="1" applyFill="1" applyBorder="1" applyAlignment="1"/>
    <xf numFmtId="0" fontId="10" fillId="6" borderId="18" xfId="0" applyFont="1" applyFill="1" applyBorder="1" applyAlignment="1">
      <alignment horizontal="right" indent="1"/>
    </xf>
    <xf numFmtId="0" fontId="10" fillId="6" borderId="153" xfId="0" applyFont="1" applyFill="1" applyBorder="1" applyAlignment="1">
      <alignment horizontal="right" indent="1"/>
    </xf>
    <xf numFmtId="166" fontId="10" fillId="6" borderId="149" xfId="0" applyNumberFormat="1" applyFont="1" applyFill="1" applyBorder="1" applyAlignment="1"/>
    <xf numFmtId="0" fontId="10" fillId="2" borderId="0" xfId="0" applyFont="1" applyFill="1" applyAlignment="1"/>
    <xf numFmtId="166" fontId="10" fillId="6" borderId="11" xfId="0" applyNumberFormat="1" applyFont="1" applyFill="1" applyBorder="1" applyAlignment="1">
      <alignment horizontal="center"/>
    </xf>
    <xf numFmtId="0" fontId="10" fillId="6" borderId="121" xfId="0" applyFont="1" applyFill="1" applyBorder="1" applyAlignment="1">
      <alignment horizontal="right" indent="1"/>
    </xf>
    <xf numFmtId="166" fontId="10" fillId="6" borderId="22" xfId="0" applyNumberFormat="1" applyFont="1" applyFill="1" applyBorder="1" applyAlignment="1">
      <alignment horizontal="center"/>
    </xf>
    <xf numFmtId="41" fontId="10" fillId="2" borderId="131" xfId="0" applyNumberFormat="1" applyFont="1" applyFill="1" applyBorder="1" applyAlignment="1">
      <alignment horizontal="right"/>
    </xf>
    <xf numFmtId="169" fontId="10" fillId="2" borderId="128" xfId="0" applyNumberFormat="1" applyFont="1" applyFill="1" applyBorder="1">
      <alignment vertical="center"/>
    </xf>
    <xf numFmtId="0" fontId="10" fillId="6" borderId="154" xfId="0" applyFont="1" applyFill="1" applyBorder="1" applyAlignment="1"/>
    <xf numFmtId="0" fontId="10" fillId="6" borderId="153" xfId="0" applyFont="1" applyFill="1" applyBorder="1" applyAlignment="1"/>
    <xf numFmtId="0" fontId="10" fillId="6" borderId="155" xfId="0" applyFont="1" applyFill="1" applyBorder="1" applyAlignment="1"/>
    <xf numFmtId="169" fontId="10" fillId="2" borderId="0" xfId="0" applyNumberFormat="1" applyFont="1" applyFill="1" applyAlignment="1"/>
    <xf numFmtId="0" fontId="10" fillId="6" borderId="0" xfId="0" applyFont="1" applyFill="1">
      <alignment vertical="center"/>
    </xf>
    <xf numFmtId="0" fontId="10" fillId="6" borderId="0" xfId="0" applyFont="1" applyFill="1" applyAlignment="1">
      <alignment horizontal="center" vertical="center"/>
    </xf>
    <xf numFmtId="0" fontId="10" fillId="6" borderId="123" xfId="0" applyFont="1" applyFill="1" applyBorder="1" applyAlignment="1"/>
    <xf numFmtId="0" fontId="10" fillId="6" borderId="155" xfId="0" applyFont="1" applyFill="1" applyBorder="1" applyAlignment="1">
      <alignment horizontal="left" indent="1"/>
    </xf>
    <xf numFmtId="0" fontId="10" fillId="6" borderId="0" xfId="0" applyFont="1" applyFill="1" applyAlignment="1">
      <alignment horizontal="center"/>
    </xf>
    <xf numFmtId="0" fontId="10" fillId="6" borderId="5" xfId="0" applyFont="1" applyFill="1" applyBorder="1" applyAlignment="1">
      <alignment horizontal="left" indent="1"/>
    </xf>
    <xf numFmtId="164" fontId="10" fillId="0" borderId="0" xfId="0" applyNumberFormat="1" applyFont="1" applyAlignment="1"/>
    <xf numFmtId="0" fontId="10" fillId="6" borderId="158" xfId="0" applyFont="1" applyFill="1" applyBorder="1" applyAlignment="1">
      <alignment horizontal="left" indent="1"/>
    </xf>
    <xf numFmtId="169" fontId="10" fillId="6" borderId="156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left"/>
    </xf>
    <xf numFmtId="43" fontId="10" fillId="0" borderId="0" xfId="0" applyNumberFormat="1" applyFont="1" applyAlignment="1"/>
    <xf numFmtId="174" fontId="10" fillId="0" borderId="0" xfId="0" applyNumberFormat="1" applyFont="1" applyAlignment="1"/>
    <xf numFmtId="3" fontId="10" fillId="0" borderId="0" xfId="0" applyNumberFormat="1" applyFont="1" applyAlignment="1"/>
    <xf numFmtId="0" fontId="41" fillId="2" borderId="143" xfId="0" applyFont="1" applyFill="1" applyBorder="1" applyAlignment="1">
      <alignment horizontal="center" vertical="center"/>
    </xf>
    <xf numFmtId="166" fontId="41" fillId="2" borderId="143" xfId="0" applyNumberFormat="1" applyFont="1" applyFill="1" applyBorder="1" applyProtection="1">
      <alignment vertical="center"/>
      <protection hidden="1"/>
    </xf>
    <xf numFmtId="0" fontId="10" fillId="6" borderId="127" xfId="0" applyFont="1" applyFill="1" applyBorder="1" applyAlignment="1"/>
    <xf numFmtId="175" fontId="16" fillId="0" borderId="24" xfId="0" applyNumberFormat="1" applyFont="1" applyBorder="1" applyAlignment="1">
      <alignment horizontal="right" vertical="center" shrinkToFit="1"/>
    </xf>
    <xf numFmtId="175" fontId="16" fillId="0" borderId="27" xfId="0" applyNumberFormat="1" applyFont="1" applyBorder="1" applyAlignment="1">
      <alignment horizontal="right" vertical="center" shrinkToFit="1"/>
    </xf>
    <xf numFmtId="0" fontId="27" fillId="0" borderId="28" xfId="0" applyFont="1" applyBorder="1" applyAlignment="1">
      <alignment horizontal="right" vertical="center" wrapText="1"/>
    </xf>
    <xf numFmtId="0" fontId="27" fillId="0" borderId="186" xfId="0" applyFont="1" applyBorder="1" applyAlignment="1">
      <alignment vertical="center" wrapText="1"/>
    </xf>
    <xf numFmtId="0" fontId="1" fillId="0" borderId="185" xfId="0" applyFont="1" applyBorder="1" applyAlignment="1">
      <alignment vertical="center" wrapText="1"/>
    </xf>
    <xf numFmtId="49" fontId="27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right" vertical="center" wrapText="1"/>
    </xf>
    <xf numFmtId="175" fontId="16" fillId="0" borderId="22" xfId="0" applyNumberFormat="1" applyFont="1" applyBorder="1" applyAlignment="1">
      <alignment horizontal="right" vertical="center" shrinkToFit="1"/>
    </xf>
    <xf numFmtId="0" fontId="27" fillId="0" borderId="29" xfId="0" applyFont="1" applyBorder="1" applyAlignment="1">
      <alignment vertical="center" wrapText="1"/>
    </xf>
    <xf numFmtId="166" fontId="61" fillId="2" borderId="0" xfId="2" applyNumberFormat="1" applyFill="1">
      <protection locked="0"/>
    </xf>
    <xf numFmtId="166" fontId="16" fillId="2" borderId="0" xfId="2" applyNumberFormat="1" applyFont="1" applyFill="1">
      <protection locked="0"/>
    </xf>
    <xf numFmtId="166" fontId="16" fillId="2" borderId="0" xfId="2" applyNumberFormat="1" applyFont="1" applyFill="1" applyAlignment="1">
      <alignment vertical="center"/>
      <protection locked="0"/>
    </xf>
    <xf numFmtId="166" fontId="16" fillId="2" borderId="20" xfId="2" applyNumberFormat="1" applyFont="1" applyFill="1" applyBorder="1" applyAlignment="1">
      <alignment vertical="center"/>
      <protection locked="0"/>
    </xf>
    <xf numFmtId="0" fontId="27" fillId="0" borderId="25" xfId="0" applyFont="1" applyBorder="1" applyAlignment="1">
      <alignment horizontal="right" vertical="center" wrapText="1"/>
    </xf>
    <xf numFmtId="0" fontId="27" fillId="0" borderId="26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166" fontId="16" fillId="2" borderId="27" xfId="2" applyNumberFormat="1" applyFont="1" applyFill="1" applyBorder="1" applyAlignment="1">
      <alignment vertical="center"/>
      <protection locked="0"/>
    </xf>
    <xf numFmtId="175" fontId="16" fillId="0" borderId="45" xfId="0" applyNumberFormat="1" applyFont="1" applyBorder="1" applyAlignment="1">
      <alignment horizontal="right" vertical="center" shrinkToFit="1"/>
    </xf>
    <xf numFmtId="0" fontId="23" fillId="0" borderId="182" xfId="0" applyFont="1" applyBorder="1" applyAlignment="1">
      <alignment horizontal="right" vertical="center" wrapText="1"/>
    </xf>
    <xf numFmtId="0" fontId="16" fillId="0" borderId="183" xfId="0" applyFont="1" applyBorder="1" applyAlignment="1">
      <alignment vertical="center" wrapText="1"/>
    </xf>
    <xf numFmtId="166" fontId="16" fillId="2" borderId="184" xfId="2" applyNumberFormat="1" applyFont="1" applyFill="1" applyBorder="1" applyAlignment="1">
      <alignment vertical="center"/>
      <protection locked="0"/>
    </xf>
    <xf numFmtId="175" fontId="18" fillId="0" borderId="181" xfId="0" applyNumberFormat="1" applyFont="1" applyBorder="1" applyAlignment="1">
      <alignment horizontal="right" vertical="center" shrinkToFit="1"/>
    </xf>
    <xf numFmtId="0" fontId="23" fillId="0" borderId="25" xfId="0" applyFont="1" applyBorder="1" applyAlignment="1">
      <alignment horizontal="right" vertical="center" wrapText="1"/>
    </xf>
    <xf numFmtId="0" fontId="16" fillId="0" borderId="26" xfId="0" applyFont="1" applyBorder="1" applyAlignment="1">
      <alignment vertical="center" wrapText="1"/>
    </xf>
    <xf numFmtId="175" fontId="18" fillId="0" borderId="24" xfId="0" applyNumberFormat="1" applyFont="1" applyBorder="1" applyAlignment="1">
      <alignment horizontal="right" vertical="center" shrinkToFit="1"/>
    </xf>
    <xf numFmtId="0" fontId="1" fillId="0" borderId="188" xfId="0" applyFont="1" applyBorder="1" applyAlignment="1">
      <alignment vertical="center" wrapText="1"/>
    </xf>
    <xf numFmtId="4" fontId="16" fillId="0" borderId="189" xfId="0" applyNumberFormat="1" applyFont="1" applyBorder="1" applyAlignment="1">
      <alignment horizontal="right" vertical="center" shrinkToFit="1"/>
    </xf>
    <xf numFmtId="0" fontId="27" fillId="0" borderId="2" xfId="0" applyFont="1" applyBorder="1" applyAlignment="1">
      <alignment horizontal="right" vertical="center" wrapText="1"/>
    </xf>
    <xf numFmtId="175" fontId="18" fillId="0" borderId="1" xfId="0" applyNumberFormat="1" applyFont="1" applyBorder="1" applyAlignment="1">
      <alignment horizontal="right" vertical="center" shrinkToFit="1"/>
    </xf>
    <xf numFmtId="175" fontId="1" fillId="0" borderId="45" xfId="0" applyNumberFormat="1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175" fontId="25" fillId="0" borderId="45" xfId="0" applyNumberFormat="1" applyFont="1" applyBorder="1" applyAlignment="1">
      <alignment horizontal="right" vertical="center" shrinkToFit="1"/>
    </xf>
    <xf numFmtId="0" fontId="18" fillId="0" borderId="11" xfId="0" applyFont="1" applyBorder="1" applyAlignment="1">
      <alignment horizontal="center" vertical="center" shrinkToFit="1"/>
    </xf>
    <xf numFmtId="43" fontId="16" fillId="2" borderId="0" xfId="2" applyFont="1" applyFill="1">
      <protection locked="0"/>
    </xf>
    <xf numFmtId="166" fontId="16" fillId="2" borderId="12" xfId="2" applyNumberFormat="1" applyFont="1" applyFill="1" applyBorder="1" applyAlignment="1">
      <alignment vertical="center"/>
      <protection locked="0"/>
    </xf>
    <xf numFmtId="166" fontId="16" fillId="2" borderId="24" xfId="2" applyNumberFormat="1" applyFont="1" applyFill="1" applyBorder="1" applyAlignment="1">
      <alignment vertical="center"/>
      <protection locked="0"/>
    </xf>
    <xf numFmtId="166" fontId="16" fillId="2" borderId="19" xfId="2" applyNumberFormat="1" applyFont="1" applyFill="1" applyBorder="1" applyAlignment="1">
      <alignment vertical="center"/>
      <protection locked="0"/>
    </xf>
    <xf numFmtId="166" fontId="18" fillId="2" borderId="193" xfId="2" applyNumberFormat="1" applyFont="1" applyFill="1" applyBorder="1" applyAlignment="1">
      <alignment vertical="center"/>
      <protection locked="0"/>
    </xf>
    <xf numFmtId="166" fontId="18" fillId="2" borderId="192" xfId="2" applyNumberFormat="1" applyFont="1" applyFill="1" applyBorder="1" applyAlignment="1">
      <alignment vertical="center"/>
      <protection locked="0"/>
    </xf>
    <xf numFmtId="0" fontId="16" fillId="0" borderId="24" xfId="2" applyNumberFormat="1" applyFont="1" applyBorder="1" applyAlignment="1" applyProtection="1">
      <alignment horizontal="left" vertical="center"/>
    </xf>
    <xf numFmtId="0" fontId="17" fillId="0" borderId="0" xfId="0" applyFont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166" fontId="16" fillId="2" borderId="41" xfId="2" applyNumberFormat="1" applyFont="1" applyFill="1" applyBorder="1" applyAlignment="1">
      <alignment vertical="center"/>
      <protection locked="0"/>
    </xf>
    <xf numFmtId="166" fontId="18" fillId="2" borderId="37" xfId="2" applyNumberFormat="1" applyFont="1" applyFill="1" applyBorder="1" applyAlignment="1">
      <alignment vertical="center"/>
      <protection locked="0"/>
    </xf>
    <xf numFmtId="166" fontId="16" fillId="2" borderId="43" xfId="2" applyNumberFormat="1" applyFont="1" applyFill="1" applyBorder="1" applyAlignment="1">
      <alignment vertical="center"/>
      <protection locked="0"/>
    </xf>
    <xf numFmtId="166" fontId="16" fillId="2" borderId="26" xfId="2" applyNumberFormat="1" applyFont="1" applyFill="1" applyBorder="1" applyAlignment="1">
      <alignment vertical="center"/>
      <protection locked="0"/>
    </xf>
    <xf numFmtId="166" fontId="16" fillId="2" borderId="190" xfId="2" applyNumberFormat="1" applyFont="1" applyFill="1" applyBorder="1" applyAlignment="1">
      <alignment vertical="center"/>
      <protection locked="0"/>
    </xf>
    <xf numFmtId="166" fontId="16" fillId="2" borderId="29" xfId="2" applyNumberFormat="1" applyFont="1" applyFill="1" applyBorder="1" applyAlignment="1">
      <alignment vertical="center"/>
      <protection locked="0"/>
    </xf>
    <xf numFmtId="166" fontId="16" fillId="2" borderId="181" xfId="2" applyNumberFormat="1" applyFont="1" applyFill="1" applyBorder="1" applyAlignment="1">
      <alignment vertical="center"/>
      <protection locked="0"/>
    </xf>
    <xf numFmtId="166" fontId="18" fillId="2" borderId="194" xfId="2" applyNumberFormat="1" applyFont="1" applyFill="1" applyBorder="1" applyAlignment="1">
      <alignment vertical="center"/>
      <protection locked="0"/>
    </xf>
    <xf numFmtId="0" fontId="27" fillId="0" borderId="188" xfId="0" applyFont="1" applyBorder="1" applyAlignment="1">
      <alignment horizontal="left" vertical="center" wrapText="1"/>
    </xf>
    <xf numFmtId="0" fontId="36" fillId="0" borderId="22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186" xfId="0" applyFont="1" applyBorder="1" applyAlignment="1">
      <alignment horizontal="center" vertical="center" wrapText="1"/>
    </xf>
    <xf numFmtId="0" fontId="27" fillId="0" borderId="185" xfId="0" applyFont="1" applyBorder="1" applyAlignment="1">
      <alignment horizontal="center" vertical="center" wrapText="1"/>
    </xf>
    <xf numFmtId="4" fontId="16" fillId="0" borderId="188" xfId="0" applyNumberFormat="1" applyFont="1" applyBorder="1" applyAlignment="1">
      <alignment horizontal="right" vertical="center" shrinkToFit="1"/>
    </xf>
    <xf numFmtId="0" fontId="36" fillId="0" borderId="16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4" fontId="35" fillId="0" borderId="188" xfId="0" applyNumberFormat="1" applyFont="1" applyBorder="1" applyAlignment="1">
      <alignment horizontal="right" vertical="center" shrinkToFit="1"/>
    </xf>
    <xf numFmtId="0" fontId="36" fillId="0" borderId="0" xfId="0" applyFont="1" applyAlignment="1">
      <alignment horizontal="right" vertical="center" wrapText="1"/>
    </xf>
    <xf numFmtId="0" fontId="36" fillId="0" borderId="17" xfId="0" applyFont="1" applyBorder="1" applyAlignment="1">
      <alignment horizontal="right" vertical="center" wrapText="1"/>
    </xf>
    <xf numFmtId="0" fontId="66" fillId="0" borderId="9" xfId="0" applyFont="1" applyBorder="1" applyAlignment="1">
      <alignment horizontal="right" vertical="center" wrapText="1"/>
    </xf>
    <xf numFmtId="0" fontId="27" fillId="0" borderId="8" xfId="0" applyFont="1" applyBorder="1" applyAlignment="1">
      <alignment horizontal="left" vertical="center" wrapText="1"/>
    </xf>
    <xf numFmtId="0" fontId="66" fillId="0" borderId="9" xfId="0" applyFont="1" applyBorder="1" applyAlignment="1">
      <alignment horizontal="left" vertical="center" wrapText="1"/>
    </xf>
    <xf numFmtId="4" fontId="16" fillId="0" borderId="8" xfId="0" applyNumberFormat="1" applyFont="1" applyBorder="1" applyAlignment="1">
      <alignment horizontal="right" vertical="center" shrinkToFit="1"/>
    </xf>
    <xf numFmtId="0" fontId="27" fillId="0" borderId="0" xfId="0" applyFont="1">
      <alignment vertical="center"/>
    </xf>
    <xf numFmtId="0" fontId="27" fillId="0" borderId="16" xfId="0" applyFont="1" applyBorder="1">
      <alignment vertical="center"/>
    </xf>
    <xf numFmtId="0" fontId="27" fillId="0" borderId="17" xfId="0" applyFont="1" applyBorder="1">
      <alignment vertical="center"/>
    </xf>
    <xf numFmtId="0" fontId="16" fillId="0" borderId="10" xfId="0" applyFont="1" applyBorder="1" applyAlignment="1">
      <alignment vertical="center" wrapText="1"/>
    </xf>
    <xf numFmtId="166" fontId="16" fillId="2" borderId="37" xfId="2" applyNumberFormat="1" applyFont="1" applyFill="1" applyBorder="1" applyAlignment="1">
      <alignment vertical="center"/>
      <protection locked="0"/>
    </xf>
    <xf numFmtId="166" fontId="18" fillId="2" borderId="43" xfId="2" applyNumberFormat="1" applyFont="1" applyFill="1" applyBorder="1" applyAlignment="1">
      <alignment vertical="center"/>
      <protection locked="0"/>
    </xf>
    <xf numFmtId="166" fontId="16" fillId="2" borderId="44" xfId="2" applyNumberFormat="1" applyFont="1" applyFill="1" applyBorder="1" applyAlignment="1">
      <alignment vertical="center"/>
      <protection locked="0"/>
    </xf>
    <xf numFmtId="166" fontId="18" fillId="2" borderId="26" xfId="2" applyNumberFormat="1" applyFont="1" applyFill="1" applyBorder="1" applyAlignment="1">
      <alignment vertical="center"/>
      <protection locked="0"/>
    </xf>
    <xf numFmtId="0" fontId="23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0" fontId="16" fillId="0" borderId="19" xfId="0" applyFont="1" applyBorder="1" applyAlignment="1">
      <alignment horizontal="right" vertical="center"/>
    </xf>
    <xf numFmtId="0" fontId="16" fillId="0" borderId="21" xfId="0" applyFont="1" applyBorder="1" applyAlignment="1">
      <alignment horizontal="left" vertical="center"/>
    </xf>
    <xf numFmtId="49" fontId="17" fillId="0" borderId="0" xfId="0" applyNumberFormat="1" applyFont="1" applyAlignment="1">
      <alignment horizontal="center" vertical="center" wrapText="1"/>
    </xf>
    <xf numFmtId="166" fontId="16" fillId="2" borderId="187" xfId="2" applyNumberFormat="1" applyFont="1" applyFill="1" applyBorder="1" applyAlignment="1">
      <alignment vertical="center"/>
      <protection locked="0"/>
    </xf>
    <xf numFmtId="166" fontId="18" fillId="2" borderId="191" xfId="2" applyNumberFormat="1" applyFont="1" applyFill="1" applyBorder="1" applyAlignment="1">
      <alignment vertical="center"/>
      <protection locked="0"/>
    </xf>
    <xf numFmtId="43" fontId="16" fillId="2" borderId="45" xfId="2" applyFont="1" applyFill="1" applyBorder="1">
      <protection locked="0"/>
    </xf>
    <xf numFmtId="0" fontId="2" fillId="0" borderId="5" xfId="1" applyFont="1" applyBorder="1" applyAlignment="1" applyProtection="1">
      <alignment horizontal="left" vertical="center" wrapText="1"/>
    </xf>
    <xf numFmtId="0" fontId="2" fillId="0" borderId="6" xfId="1" applyFont="1" applyBorder="1" applyAlignment="1" applyProtection="1">
      <alignment horizontal="left" vertical="center" wrapText="1"/>
    </xf>
    <xf numFmtId="0" fontId="2" fillId="0" borderId="5" xfId="1" applyFont="1" applyBorder="1" applyAlignment="1" applyProtection="1">
      <alignment horizontal="center" vertical="center" wrapText="1"/>
    </xf>
    <xf numFmtId="0" fontId="2" fillId="0" borderId="6" xfId="1" applyFont="1" applyBorder="1" applyAlignment="1" applyProtection="1">
      <alignment horizontal="center" vertical="center" wrapText="1"/>
    </xf>
    <xf numFmtId="0" fontId="2" fillId="0" borderId="5" xfId="1" applyFont="1" applyBorder="1" applyAlignment="1" applyProtection="1">
      <alignment horizontal="left" vertical="center"/>
    </xf>
    <xf numFmtId="0" fontId="2" fillId="0" borderId="6" xfId="1" applyFont="1" applyBorder="1" applyAlignment="1" applyProtection="1">
      <alignment horizontal="left" vertical="center"/>
    </xf>
    <xf numFmtId="0" fontId="8" fillId="0" borderId="8" xfId="1" applyFont="1" applyBorder="1" applyAlignment="1" applyProtection="1">
      <alignment horizontal="left" vertical="center" wrapText="1"/>
    </xf>
    <xf numFmtId="0" fontId="2" fillId="0" borderId="10" xfId="1" applyFont="1" applyBorder="1" applyAlignment="1" applyProtection="1">
      <alignment horizontal="left" vertical="center" wrapText="1"/>
    </xf>
    <xf numFmtId="0" fontId="8" fillId="0" borderId="2" xfId="1" applyFont="1" applyBorder="1" applyAlignment="1" applyProtection="1">
      <alignment horizontal="center" vertical="center" wrapText="1"/>
    </xf>
    <xf numFmtId="0" fontId="8" fillId="0" borderId="4" xfId="1" applyFont="1" applyBorder="1" applyAlignment="1" applyProtection="1">
      <alignment horizontal="center" vertical="center" wrapText="1"/>
    </xf>
    <xf numFmtId="0" fontId="8" fillId="0" borderId="5" xfId="1" applyFont="1" applyBorder="1" applyAlignment="1" applyProtection="1">
      <alignment vertical="center" wrapText="1"/>
    </xf>
    <xf numFmtId="0" fontId="2" fillId="0" borderId="6" xfId="1" applyFont="1" applyBorder="1" applyAlignment="1" applyProtection="1">
      <alignment vertical="center" wrapText="1"/>
    </xf>
    <xf numFmtId="0" fontId="85" fillId="0" borderId="0" xfId="1" applyFont="1" applyAlignment="1" applyProtection="1">
      <alignment horizontal="center" vertical="center"/>
    </xf>
    <xf numFmtId="0" fontId="85" fillId="0" borderId="20" xfId="1" applyFont="1" applyBorder="1" applyAlignment="1" applyProtection="1">
      <alignment horizontal="center" vertical="center"/>
    </xf>
    <xf numFmtId="0" fontId="8" fillId="0" borderId="5" xfId="1" applyFont="1" applyBorder="1" applyAlignment="1" applyProtection="1">
      <alignment horizontal="center" vertical="center" wrapText="1"/>
    </xf>
    <xf numFmtId="0" fontId="8" fillId="0" borderId="6" xfId="1" applyFont="1" applyBorder="1" applyAlignment="1" applyProtection="1">
      <alignment horizontal="center" vertical="center" wrapText="1"/>
    </xf>
    <xf numFmtId="0" fontId="8" fillId="0" borderId="5" xfId="1" applyFont="1" applyBorder="1" applyAlignment="1" applyProtection="1">
      <alignment horizontal="left" vertical="center" wrapText="1"/>
    </xf>
    <xf numFmtId="0" fontId="8" fillId="0" borderId="6" xfId="1" applyFont="1" applyBorder="1" applyAlignment="1" applyProtection="1">
      <alignment horizontal="left" vertical="center" wrapText="1"/>
    </xf>
    <xf numFmtId="0" fontId="8" fillId="0" borderId="18" xfId="1" applyFont="1" applyBorder="1" applyAlignment="1" applyProtection="1">
      <alignment horizontal="center" vertical="center" wrapText="1"/>
    </xf>
    <xf numFmtId="0" fontId="10" fillId="0" borderId="16" xfId="1" applyFont="1" applyBorder="1" applyAlignment="1" applyProtection="1">
      <alignment horizontal="center" vertical="center" wrapText="1"/>
    </xf>
    <xf numFmtId="0" fontId="10" fillId="0" borderId="0" xfId="1" applyFont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7" fillId="0" borderId="1" xfId="1" applyFont="1" applyBorder="1" applyAlignment="1" applyProtection="1">
      <alignment horizontal="center" vertical="center" wrapText="1"/>
    </xf>
    <xf numFmtId="0" fontId="7" fillId="0" borderId="7" xfId="1" applyFont="1" applyBorder="1" applyAlignment="1" applyProtection="1">
      <alignment horizontal="center" vertical="center" wrapText="1"/>
    </xf>
    <xf numFmtId="0" fontId="2" fillId="0" borderId="8" xfId="1" applyFont="1" applyBorder="1" applyAlignment="1" applyProtection="1">
      <alignment horizontal="center" vertical="center" wrapText="1"/>
    </xf>
    <xf numFmtId="0" fontId="2" fillId="0" borderId="10" xfId="1" applyFont="1" applyBorder="1" applyAlignment="1" applyProtection="1">
      <alignment horizontal="center" vertical="center" wrapText="1"/>
    </xf>
    <xf numFmtId="0" fontId="2" fillId="0" borderId="16" xfId="1" applyFont="1" applyBorder="1" applyAlignment="1" applyProtection="1">
      <alignment horizontal="center" vertical="center" wrapText="1"/>
    </xf>
    <xf numFmtId="0" fontId="2" fillId="0" borderId="17" xfId="1" applyFont="1" applyBorder="1" applyAlignment="1" applyProtection="1">
      <alignment horizontal="center" vertical="center" wrapText="1"/>
    </xf>
    <xf numFmtId="0" fontId="7" fillId="0" borderId="2" xfId="1" applyFont="1" applyBorder="1" applyAlignment="1" applyProtection="1">
      <alignment horizontal="center" vertical="center" wrapText="1"/>
    </xf>
    <xf numFmtId="0" fontId="7" fillId="0" borderId="4" xfId="1" applyFont="1" applyBorder="1" applyAlignment="1" applyProtection="1">
      <alignment horizontal="center" vertical="center" wrapText="1"/>
    </xf>
    <xf numFmtId="0" fontId="7" fillId="0" borderId="8" xfId="1" applyFont="1" applyBorder="1" applyAlignment="1" applyProtection="1">
      <alignment horizontal="center" vertical="center" wrapText="1"/>
    </xf>
    <xf numFmtId="0" fontId="7" fillId="0" borderId="10" xfId="1" applyFont="1" applyBorder="1" applyAlignment="1" applyProtection="1">
      <alignment horizontal="center" vertical="center" wrapText="1"/>
    </xf>
    <xf numFmtId="0" fontId="2" fillId="0" borderId="2" xfId="1" applyFont="1" applyBorder="1" applyAlignment="1" applyProtection="1">
      <alignment horizontal="center" vertical="center" wrapText="1"/>
    </xf>
    <xf numFmtId="0" fontId="2" fillId="0" borderId="4" xfId="1" applyFont="1" applyBorder="1" applyAlignment="1" applyProtection="1">
      <alignment horizontal="center" vertical="center" wrapText="1"/>
    </xf>
    <xf numFmtId="0" fontId="5" fillId="0" borderId="15" xfId="1" applyFont="1" applyBorder="1" applyAlignment="1" applyProtection="1">
      <alignment horizontal="left" vertical="center" wrapText="1"/>
    </xf>
    <xf numFmtId="0" fontId="8" fillId="0" borderId="2" xfId="1" applyFont="1" applyBorder="1" applyAlignment="1" applyProtection="1">
      <alignment vertical="center" wrapText="1"/>
    </xf>
    <xf numFmtId="0" fontId="8" fillId="0" borderId="4" xfId="1" applyFont="1" applyBorder="1" applyAlignment="1" applyProtection="1">
      <alignment vertical="center" wrapText="1"/>
    </xf>
    <xf numFmtId="0" fontId="8" fillId="0" borderId="8" xfId="1" applyFont="1" applyBorder="1" applyAlignment="1" applyProtection="1">
      <alignment vertical="center" wrapText="1"/>
    </xf>
    <xf numFmtId="0" fontId="2" fillId="0" borderId="10" xfId="1" applyFont="1" applyBorder="1" applyAlignment="1" applyProtection="1">
      <alignment vertical="center" wrapText="1"/>
    </xf>
    <xf numFmtId="0" fontId="3" fillId="0" borderId="0" xfId="1" applyFont="1" applyAlignment="1" applyProtection="1">
      <alignment horizontal="center" vertical="top"/>
    </xf>
    <xf numFmtId="0" fontId="86" fillId="0" borderId="0" xfId="1" applyFont="1" applyAlignment="1" applyProtection="1">
      <alignment horizontal="center" vertical="center" wrapText="1"/>
    </xf>
    <xf numFmtId="0" fontId="1" fillId="0" borderId="0" xfId="1" applyFont="1" applyAlignment="1" applyProtection="1">
      <alignment horizontal="center" vertical="top"/>
    </xf>
    <xf numFmtId="0" fontId="8" fillId="0" borderId="2" xfId="1" applyFont="1" applyBorder="1" applyAlignment="1" applyProtection="1">
      <alignment horizontal="left" vertical="center" wrapText="1"/>
    </xf>
    <xf numFmtId="0" fontId="2" fillId="0" borderId="4" xfId="1" applyFont="1" applyBorder="1" applyAlignment="1" applyProtection="1">
      <alignment horizontal="left" vertical="center" wrapText="1"/>
    </xf>
    <xf numFmtId="0" fontId="8" fillId="0" borderId="12" xfId="1" applyFont="1" applyBorder="1" applyAlignment="1" applyProtection="1">
      <alignment horizontal="center" vertical="center" wrapText="1"/>
    </xf>
    <xf numFmtId="0" fontId="8" fillId="0" borderId="13" xfId="1" applyFont="1" applyBorder="1" applyAlignment="1" applyProtection="1">
      <alignment horizontal="center" vertical="center" wrapText="1"/>
    </xf>
    <xf numFmtId="0" fontId="8" fillId="0" borderId="14" xfId="1" applyFont="1" applyBorder="1" applyAlignment="1" applyProtection="1">
      <alignment horizontal="center" vertical="center" wrapText="1"/>
    </xf>
    <xf numFmtId="0" fontId="5" fillId="0" borderId="15" xfId="1" applyFont="1" applyBorder="1" applyAlignment="1" applyProtection="1">
      <alignment horizontal="center" vertical="center" wrapText="1"/>
    </xf>
    <xf numFmtId="0" fontId="5" fillId="0" borderId="2" xfId="1" applyFont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 vertical="center" wrapText="1"/>
    </xf>
    <xf numFmtId="0" fontId="5" fillId="0" borderId="4" xfId="1" applyFont="1" applyBorder="1" applyAlignment="1" applyProtection="1">
      <alignment horizontal="center" vertical="center" wrapText="1"/>
    </xf>
    <xf numFmtId="0" fontId="5" fillId="0" borderId="8" xfId="1" applyFont="1" applyBorder="1" applyAlignment="1" applyProtection="1">
      <alignment horizontal="center" vertical="center" wrapText="1"/>
    </xf>
    <xf numFmtId="0" fontId="5" fillId="0" borderId="9" xfId="1" applyFont="1" applyBorder="1" applyAlignment="1" applyProtection="1">
      <alignment horizontal="center" vertical="center" wrapText="1"/>
    </xf>
    <xf numFmtId="0" fontId="5" fillId="0" borderId="10" xfId="1" applyFont="1" applyBorder="1" applyAlignment="1" applyProtection="1">
      <alignment horizontal="center" vertical="center" wrapText="1"/>
    </xf>
    <xf numFmtId="0" fontId="2" fillId="0" borderId="8" xfId="1" applyFont="1" applyBorder="1" applyAlignment="1" applyProtection="1">
      <alignment horizontal="left" vertical="center" wrapText="1"/>
    </xf>
    <xf numFmtId="0" fontId="8" fillId="0" borderId="2" xfId="1" applyFont="1" applyBorder="1" applyAlignment="1" applyProtection="1">
      <alignment horizontal="center" vertical="top" wrapText="1"/>
    </xf>
    <xf numFmtId="0" fontId="8" fillId="0" borderId="3" xfId="1" applyFont="1" applyBorder="1" applyAlignment="1" applyProtection="1">
      <alignment horizontal="center" vertical="top" wrapText="1"/>
    </xf>
    <xf numFmtId="0" fontId="8" fillId="0" borderId="4" xfId="1" applyFont="1" applyBorder="1" applyAlignment="1" applyProtection="1">
      <alignment horizontal="center" vertical="top" wrapText="1"/>
    </xf>
    <xf numFmtId="0" fontId="2" fillId="0" borderId="5" xfId="1" applyFont="1" applyBorder="1" applyAlignment="1" applyProtection="1">
      <alignment vertical="center" wrapText="1"/>
    </xf>
    <xf numFmtId="0" fontId="2" fillId="0" borderId="2" xfId="1" applyFont="1" applyBorder="1" applyAlignment="1" applyProtection="1">
      <alignment vertical="center" wrapText="1"/>
    </xf>
    <xf numFmtId="0" fontId="2" fillId="0" borderId="4" xfId="1" applyFont="1" applyBorder="1" applyAlignment="1" applyProtection="1">
      <alignment vertical="center" wrapText="1"/>
    </xf>
    <xf numFmtId="0" fontId="8" fillId="0" borderId="8" xfId="1" applyFont="1" applyBorder="1" applyAlignment="1" applyProtection="1">
      <alignment horizontal="center" vertical="center" wrapText="1"/>
    </xf>
    <xf numFmtId="0" fontId="8" fillId="0" borderId="10" xfId="1" applyFont="1" applyBorder="1" applyAlignment="1" applyProtection="1">
      <alignment horizontal="left" vertical="center" wrapText="1"/>
    </xf>
    <xf numFmtId="0" fontId="8" fillId="0" borderId="4" xfId="1" applyFont="1" applyBorder="1" applyAlignment="1" applyProtection="1">
      <alignment horizontal="left" vertical="center" wrapText="1"/>
    </xf>
    <xf numFmtId="0" fontId="6" fillId="0" borderId="1" xfId="1" applyFont="1" applyBorder="1" applyAlignment="1" applyProtection="1">
      <alignment horizontal="center" vertical="center" wrapText="1"/>
    </xf>
    <xf numFmtId="0" fontId="6" fillId="0" borderId="7" xfId="1" applyFont="1" applyBorder="1" applyAlignment="1" applyProtection="1">
      <alignment horizontal="center" vertical="center" wrapText="1"/>
    </xf>
    <xf numFmtId="0" fontId="2" fillId="0" borderId="0" xfId="1" applyFont="1" applyAlignment="1" applyProtection="1">
      <alignment horizontal="center" vertical="center"/>
    </xf>
    <xf numFmtId="0" fontId="15" fillId="0" borderId="0" xfId="1" applyFont="1" applyAlignment="1" applyProtection="1">
      <alignment horizontal="center" vertical="center"/>
    </xf>
    <xf numFmtId="0" fontId="2" fillId="0" borderId="15" xfId="1" applyFont="1" applyBorder="1" applyAlignment="1" applyProtection="1">
      <alignment horizontal="center" vertical="center"/>
    </xf>
    <xf numFmtId="0" fontId="1" fillId="0" borderId="19" xfId="1" applyFont="1" applyBorder="1" applyAlignment="1" applyProtection="1">
      <alignment horizontal="center" vertical="center" wrapText="1"/>
    </xf>
    <xf numFmtId="0" fontId="1" fillId="0" borderId="20" xfId="1" applyFont="1" applyBorder="1" applyAlignment="1" applyProtection="1">
      <alignment horizontal="center" vertical="center" wrapText="1"/>
    </xf>
    <xf numFmtId="0" fontId="1" fillId="0" borderId="21" xfId="1" applyFont="1" applyBorder="1" applyAlignment="1" applyProtection="1">
      <alignment horizontal="center" vertical="center" wrapText="1"/>
    </xf>
    <xf numFmtId="0" fontId="13" fillId="0" borderId="15" xfId="1" applyFont="1" applyBorder="1" applyAlignment="1" applyProtection="1">
      <alignment horizontal="center" vertical="center"/>
    </xf>
    <xf numFmtId="0" fontId="2" fillId="0" borderId="16" xfId="1" applyFont="1" applyBorder="1" applyAlignment="1" applyProtection="1">
      <alignment horizontal="left" vertical="center" wrapText="1"/>
    </xf>
    <xf numFmtId="0" fontId="2" fillId="0" borderId="17" xfId="1" applyFont="1" applyBorder="1" applyAlignment="1" applyProtection="1">
      <alignment horizontal="left"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</xf>
    <xf numFmtId="0" fontId="7" fillId="0" borderId="5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5" fillId="0" borderId="15" xfId="1" applyFont="1" applyBorder="1" applyAlignment="1" applyProtection="1">
      <alignment horizontal="center" vertical="top" wrapText="1"/>
    </xf>
    <xf numFmtId="0" fontId="6" fillId="0" borderId="2" xfId="1" applyFont="1" applyBorder="1" applyAlignment="1" applyProtection="1">
      <alignment horizontal="center" vertical="center" wrapText="1"/>
    </xf>
    <xf numFmtId="0" fontId="6" fillId="0" borderId="3" xfId="1" applyFont="1" applyBorder="1" applyAlignment="1" applyProtection="1">
      <alignment horizontal="center" vertical="center" wrapText="1"/>
    </xf>
    <xf numFmtId="0" fontId="6" fillId="0" borderId="4" xfId="1" applyFont="1" applyBorder="1" applyAlignment="1" applyProtection="1">
      <alignment horizontal="center" vertical="center" wrapText="1"/>
    </xf>
    <xf numFmtId="0" fontId="6" fillId="0" borderId="8" xfId="1" applyFont="1" applyBorder="1" applyAlignment="1" applyProtection="1">
      <alignment horizontal="center" vertical="center" wrapText="1"/>
    </xf>
    <xf numFmtId="0" fontId="6" fillId="0" borderId="9" xfId="1" applyFont="1" applyBorder="1" applyAlignment="1" applyProtection="1">
      <alignment horizontal="center" vertical="center" wrapText="1"/>
    </xf>
    <xf numFmtId="0" fontId="6" fillId="0" borderId="10" xfId="1" applyFont="1" applyBorder="1" applyAlignment="1" applyProtection="1">
      <alignment horizontal="center" vertical="center" wrapText="1"/>
    </xf>
    <xf numFmtId="0" fontId="1" fillId="0" borderId="0" xfId="1" applyFont="1" applyAlignment="1" applyProtection="1">
      <alignment horizontal="center" vertical="center"/>
    </xf>
    <xf numFmtId="0" fontId="1" fillId="0" borderId="0" xfId="1" applyFont="1" applyAlignment="1" applyProtection="1">
      <alignment horizontal="center" vertical="top" wrapText="1"/>
    </xf>
    <xf numFmtId="0" fontId="2" fillId="0" borderId="12" xfId="1" applyFont="1" applyBorder="1" applyAlignment="1" applyProtection="1">
      <alignment horizontal="center" vertical="center" wrapText="1"/>
    </xf>
    <xf numFmtId="0" fontId="2" fillId="0" borderId="14" xfId="1" applyFont="1" applyBorder="1" applyAlignment="1" applyProtection="1">
      <alignment horizontal="center" vertical="center" wrapText="1"/>
    </xf>
    <xf numFmtId="0" fontId="6" fillId="0" borderId="15" xfId="1" applyFont="1" applyBorder="1" applyAlignment="1" applyProtection="1">
      <alignment horizontal="left" vertical="center" wrapText="1"/>
    </xf>
    <xf numFmtId="0" fontId="8" fillId="0" borderId="16" xfId="1" applyFont="1" applyBorder="1" applyAlignment="1" applyProtection="1">
      <alignment horizontal="center" vertical="center" wrapText="1"/>
    </xf>
    <xf numFmtId="0" fontId="8" fillId="0" borderId="0" xfId="1" applyFont="1" applyAlignment="1" applyProtection="1">
      <alignment horizontal="center" vertical="center" wrapText="1"/>
    </xf>
    <xf numFmtId="0" fontId="8" fillId="0" borderId="17" xfId="1" applyFont="1" applyBorder="1" applyAlignment="1" applyProtection="1">
      <alignment horizontal="center" vertical="center" wrapText="1"/>
    </xf>
    <xf numFmtId="0" fontId="5" fillId="0" borderId="1" xfId="1" applyFont="1" applyBorder="1" applyAlignment="1" applyProtection="1">
      <alignment horizontal="left" vertical="center" wrapText="1"/>
    </xf>
    <xf numFmtId="0" fontId="5" fillId="0" borderId="7" xfId="1" applyFont="1" applyBorder="1" applyAlignment="1" applyProtection="1">
      <alignment horizontal="left" vertical="center" wrapText="1"/>
    </xf>
    <xf numFmtId="0" fontId="2" fillId="0" borderId="179" xfId="1" applyFont="1" applyBorder="1" applyAlignment="1" applyProtection="1">
      <alignment horizontal="left" vertical="center" wrapText="1"/>
    </xf>
    <xf numFmtId="0" fontId="2" fillId="0" borderId="180" xfId="1" applyFont="1" applyBorder="1" applyAlignment="1" applyProtection="1">
      <alignment horizontal="left" vertical="center" wrapText="1"/>
    </xf>
    <xf numFmtId="0" fontId="8" fillId="0" borderId="20" xfId="1" applyFont="1" applyBorder="1" applyAlignment="1" applyProtection="1">
      <alignment vertical="center" wrapText="1"/>
    </xf>
    <xf numFmtId="0" fontId="2" fillId="0" borderId="0" xfId="1" applyFont="1" applyAlignment="1" applyProtection="1">
      <alignment horizontal="center" vertical="center" wrapText="1"/>
    </xf>
    <xf numFmtId="0" fontId="2" fillId="0" borderId="20" xfId="1" applyFont="1" applyBorder="1" applyAlignment="1" applyProtection="1">
      <alignment horizontal="center" vertical="center" wrapText="1"/>
    </xf>
    <xf numFmtId="0" fontId="2" fillId="0" borderId="179" xfId="1" applyFont="1" applyBorder="1" applyAlignment="1" applyProtection="1">
      <alignment horizontal="center" vertical="center" wrapText="1"/>
    </xf>
    <xf numFmtId="0" fontId="2" fillId="0" borderId="180" xfId="1" applyFont="1" applyBorder="1" applyAlignment="1" applyProtection="1">
      <alignment horizontal="center" vertical="center" wrapText="1"/>
    </xf>
    <xf numFmtId="0" fontId="8" fillId="0" borderId="5" xfId="0" applyFont="1" applyBorder="1" applyAlignment="1">
      <alignment horizontal="center" vertical="center" readingOrder="1"/>
    </xf>
    <xf numFmtId="0" fontId="8" fillId="0" borderId="6" xfId="0" applyFont="1" applyBorder="1" applyAlignment="1">
      <alignment horizontal="center" vertical="center" readingOrder="1"/>
    </xf>
    <xf numFmtId="0" fontId="18" fillId="0" borderId="0" xfId="0" applyFont="1" applyAlignment="1">
      <alignment horizontal="center" vertical="top"/>
    </xf>
    <xf numFmtId="0" fontId="16" fillId="0" borderId="15" xfId="0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2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3" fillId="0" borderId="6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43" fontId="22" fillId="0" borderId="0" xfId="2" applyFont="1" applyAlignment="1" applyProtection="1">
      <alignment horizontal="center" vertical="top"/>
    </xf>
    <xf numFmtId="0" fontId="22" fillId="0" borderId="0" xfId="0" applyFont="1" applyAlignment="1">
      <alignment horizontal="left" vertical="top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3" fontId="29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1" fontId="18" fillId="0" borderId="5" xfId="0" applyNumberFormat="1" applyFont="1" applyBorder="1" applyAlignment="1">
      <alignment horizontal="center" vertical="center" shrinkToFit="1"/>
    </xf>
    <xf numFmtId="1" fontId="18" fillId="0" borderId="18" xfId="0" applyNumberFormat="1" applyFont="1" applyBorder="1" applyAlignment="1">
      <alignment horizontal="center" vertical="center" shrinkToFit="1"/>
    </xf>
    <xf numFmtId="1" fontId="18" fillId="0" borderId="6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left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1" fontId="18" fillId="0" borderId="8" xfId="0" applyNumberFormat="1" applyFont="1" applyBorder="1" applyAlignment="1">
      <alignment horizontal="center" vertical="center" shrinkToFit="1"/>
    </xf>
    <xf numFmtId="1" fontId="18" fillId="0" borderId="10" xfId="0" applyNumberFormat="1" applyFont="1" applyBorder="1" applyAlignment="1">
      <alignment horizontal="center" vertical="center" shrinkToFit="1"/>
    </xf>
    <xf numFmtId="0" fontId="26" fillId="0" borderId="0" xfId="0" applyFont="1" applyAlignment="1">
      <alignment horizontal="left" vertical="center" wrapText="1"/>
    </xf>
    <xf numFmtId="0" fontId="18" fillId="0" borderId="33" xfId="0" applyFont="1" applyBorder="1" applyAlignment="1">
      <alignment horizontal="left" vertical="center"/>
    </xf>
    <xf numFmtId="0" fontId="18" fillId="0" borderId="34" xfId="0" applyFont="1" applyBorder="1" applyAlignment="1">
      <alignment horizontal="left" vertical="center"/>
    </xf>
    <xf numFmtId="0" fontId="18" fillId="0" borderId="35" xfId="0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/>
    </xf>
    <xf numFmtId="49" fontId="18" fillId="0" borderId="32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8" fillId="0" borderId="26" xfId="0" applyNumberFormat="1" applyFont="1" applyBorder="1" applyAlignment="1">
      <alignment horizontal="left" vertical="center"/>
    </xf>
    <xf numFmtId="49" fontId="18" fillId="0" borderId="25" xfId="0" applyNumberFormat="1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0" xfId="0" applyFont="1" applyAlignment="1">
      <alignment horizontal="center" vertical="top"/>
    </xf>
    <xf numFmtId="0" fontId="18" fillId="0" borderId="15" xfId="0" applyFont="1" applyBorder="1" applyAlignment="1">
      <alignment horizontal="center" vertical="center"/>
    </xf>
    <xf numFmtId="49" fontId="20" fillId="0" borderId="1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 shrinkToFit="1"/>
    </xf>
    <xf numFmtId="0" fontId="23" fillId="0" borderId="36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166" fontId="61" fillId="2" borderId="0" xfId="2" applyNumberFormat="1" applyFill="1" applyAlignment="1">
      <alignment vertical="center"/>
      <protection locked="0"/>
    </xf>
    <xf numFmtId="0" fontId="25" fillId="0" borderId="46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47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49" fontId="17" fillId="0" borderId="17" xfId="0" applyNumberFormat="1" applyFont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49" fontId="16" fillId="0" borderId="0" xfId="0" applyNumberFormat="1" applyFont="1" applyAlignment="1">
      <alignment horizontal="left" vertical="center" wrapText="1"/>
    </xf>
    <xf numFmtId="49" fontId="16" fillId="0" borderId="17" xfId="0" applyNumberFormat="1" applyFont="1" applyBorder="1" applyAlignment="1">
      <alignment horizontal="left" vertical="center" wrapText="1"/>
    </xf>
    <xf numFmtId="43" fontId="16" fillId="0" borderId="0" xfId="2" applyFont="1" applyAlignment="1" applyProtection="1">
      <alignment horizontal="center" vertical="top"/>
    </xf>
    <xf numFmtId="0" fontId="24" fillId="0" borderId="2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top"/>
    </xf>
    <xf numFmtId="0" fontId="26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 wrapText="1"/>
    </xf>
    <xf numFmtId="0" fontId="65" fillId="0" borderId="16" xfId="0" applyFont="1" applyBorder="1" applyAlignment="1">
      <alignment horizontal="left" vertical="center" wrapText="1"/>
    </xf>
    <xf numFmtId="0" fontId="66" fillId="0" borderId="0" xfId="0" applyFont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0" fontId="70" fillId="0" borderId="0" xfId="0" applyFont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0" borderId="47" xfId="0" applyFont="1" applyBorder="1" applyAlignment="1">
      <alignment horizontal="left" vertical="center" wrapText="1"/>
    </xf>
    <xf numFmtId="0" fontId="36" fillId="0" borderId="16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6" fillId="0" borderId="17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77" fillId="0" borderId="16" xfId="0" applyFont="1" applyBorder="1" applyAlignment="1">
      <alignment horizontal="left" vertical="center" wrapText="1"/>
    </xf>
    <xf numFmtId="41" fontId="10" fillId="0" borderId="62" xfId="8" applyBorder="1" applyAlignment="1" applyProtection="1">
      <alignment horizontal="center"/>
    </xf>
    <xf numFmtId="41" fontId="10" fillId="0" borderId="60" xfId="8" applyBorder="1" applyAlignment="1" applyProtection="1">
      <alignment horizontal="center"/>
    </xf>
    <xf numFmtId="41" fontId="10" fillId="0" borderId="58" xfId="8" applyBorder="1" applyAlignment="1" applyProtection="1">
      <alignment horizontal="center"/>
    </xf>
    <xf numFmtId="0" fontId="43" fillId="3" borderId="0" xfId="0" applyFont="1" applyFill="1" applyAlignment="1">
      <alignment horizontal="center" vertical="center"/>
    </xf>
    <xf numFmtId="37" fontId="44" fillId="3" borderId="82" xfId="3" applyNumberFormat="1" applyFont="1" applyFill="1" applyBorder="1" applyAlignment="1" applyProtection="1">
      <alignment horizontal="right" vertical="center"/>
    </xf>
    <xf numFmtId="37" fontId="44" fillId="3" borderId="83" xfId="3" applyNumberFormat="1" applyFont="1" applyFill="1" applyBorder="1" applyAlignment="1" applyProtection="1">
      <alignment horizontal="right" vertical="center"/>
    </xf>
    <xf numFmtId="37" fontId="44" fillId="3" borderId="84" xfId="3" applyNumberFormat="1" applyFont="1" applyFill="1" applyBorder="1" applyAlignment="1" applyProtection="1">
      <alignment horizontal="right" vertical="center"/>
    </xf>
    <xf numFmtId="0" fontId="44" fillId="3" borderId="50" xfId="0" applyFont="1" applyFill="1" applyBorder="1" applyAlignment="1">
      <alignment horizontal="center" vertical="center" wrapText="1"/>
    </xf>
    <xf numFmtId="0" fontId="44" fillId="3" borderId="52" xfId="0" applyFont="1" applyFill="1" applyBorder="1" applyAlignment="1">
      <alignment horizontal="center" vertical="center" wrapText="1"/>
    </xf>
    <xf numFmtId="0" fontId="44" fillId="3" borderId="51" xfId="0" applyFont="1" applyFill="1" applyBorder="1" applyAlignment="1">
      <alignment horizontal="center" vertical="center"/>
    </xf>
    <xf numFmtId="0" fontId="44" fillId="3" borderId="53" xfId="0" applyFont="1" applyFill="1" applyBorder="1" applyAlignment="1">
      <alignment horizontal="center" vertical="center"/>
    </xf>
    <xf numFmtId="0" fontId="5" fillId="8" borderId="94" xfId="13" applyFont="1" applyFill="1" applyBorder="1" applyAlignment="1">
      <alignment horizontal="center" vertical="center" wrapText="1"/>
    </xf>
    <xf numFmtId="0" fontId="5" fillId="8" borderId="102" xfId="13" applyFont="1" applyFill="1" applyBorder="1" applyAlignment="1">
      <alignment horizontal="center" vertical="center" wrapText="1"/>
    </xf>
    <xf numFmtId="0" fontId="44" fillId="3" borderId="50" xfId="13" applyFont="1" applyFill="1" applyBorder="1" applyAlignment="1">
      <alignment horizontal="center" vertical="center" wrapText="1"/>
    </xf>
    <xf numFmtId="0" fontId="44" fillId="3" borderId="52" xfId="13" applyFont="1" applyFill="1" applyBorder="1" applyAlignment="1">
      <alignment horizontal="center" vertical="center" wrapText="1"/>
    </xf>
    <xf numFmtId="0" fontId="43" fillId="3" borderId="0" xfId="13" applyFont="1" applyFill="1" applyAlignment="1">
      <alignment horizontal="center" vertical="center"/>
    </xf>
    <xf numFmtId="0" fontId="44" fillId="3" borderId="51" xfId="13" applyFont="1" applyFill="1" applyBorder="1" applyAlignment="1">
      <alignment horizontal="center" vertical="center"/>
    </xf>
    <xf numFmtId="0" fontId="44" fillId="3" borderId="53" xfId="13" applyFont="1" applyFill="1" applyBorder="1" applyAlignment="1">
      <alignment horizontal="center" vertical="center"/>
    </xf>
    <xf numFmtId="0" fontId="5" fillId="3" borderId="82" xfId="0" applyFont="1" applyFill="1" applyBorder="1" applyAlignment="1">
      <alignment horizontal="right" indent="1"/>
    </xf>
    <xf numFmtId="0" fontId="5" fillId="3" borderId="83" xfId="0" applyFont="1" applyFill="1" applyBorder="1" applyAlignment="1">
      <alignment horizontal="right" indent="1"/>
    </xf>
    <xf numFmtId="0" fontId="5" fillId="3" borderId="84" xfId="0" applyFont="1" applyFill="1" applyBorder="1" applyAlignment="1">
      <alignment horizontal="right" indent="1"/>
    </xf>
    <xf numFmtId="0" fontId="10" fillId="3" borderId="88" xfId="0" applyFont="1" applyFill="1" applyBorder="1" applyAlignment="1">
      <alignment horizontal="center" vertical="center" wrapText="1"/>
    </xf>
    <xf numFmtId="0" fontId="10" fillId="3" borderId="160" xfId="0" applyFont="1" applyFill="1" applyBorder="1" applyAlignment="1">
      <alignment horizontal="center" vertical="center" wrapText="1"/>
    </xf>
    <xf numFmtId="0" fontId="10" fillId="3" borderId="175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97" xfId="0" applyFont="1" applyFill="1" applyBorder="1" applyAlignment="1">
      <alignment horizontal="center" vertical="center" wrapText="1"/>
    </xf>
    <xf numFmtId="0" fontId="10" fillId="3" borderId="163" xfId="0" applyFont="1" applyFill="1" applyBorder="1" applyAlignment="1">
      <alignment horizontal="center" vertical="center" wrapText="1"/>
    </xf>
    <xf numFmtId="0" fontId="10" fillId="8" borderId="0" xfId="0" applyFont="1" applyFill="1" applyAlignment="1"/>
    <xf numFmtId="0" fontId="10" fillId="3" borderId="91" xfId="0" applyFont="1" applyFill="1" applyBorder="1" applyAlignment="1">
      <alignment horizontal="center" vertical="center"/>
    </xf>
    <xf numFmtId="0" fontId="10" fillId="3" borderId="92" xfId="0" applyFont="1" applyFill="1" applyBorder="1" applyAlignment="1">
      <alignment horizontal="center" vertical="center"/>
    </xf>
    <xf numFmtId="0" fontId="10" fillId="3" borderId="96" xfId="0" applyFont="1" applyFill="1" applyBorder="1" applyAlignment="1">
      <alignment horizontal="center" vertical="center"/>
    </xf>
    <xf numFmtId="0" fontId="10" fillId="3" borderId="15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15" xfId="0" applyFont="1" applyFill="1" applyBorder="1" applyAlignment="1">
      <alignment horizontal="center" vertical="center"/>
    </xf>
    <xf numFmtId="0" fontId="10" fillId="3" borderId="100" xfId="0" applyFont="1" applyFill="1" applyBorder="1" applyAlignment="1">
      <alignment horizontal="center" vertical="center"/>
    </xf>
    <xf numFmtId="0" fontId="10" fillId="3" borderId="104" xfId="0" applyFont="1" applyFill="1" applyBorder="1" applyAlignment="1">
      <alignment horizontal="center" vertical="center"/>
    </xf>
    <xf numFmtId="0" fontId="10" fillId="3" borderId="105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top" wrapText="1"/>
    </xf>
    <xf numFmtId="0" fontId="5" fillId="8" borderId="102" xfId="0" applyFont="1" applyFill="1" applyBorder="1" applyAlignment="1">
      <alignment horizontal="center" vertical="top" wrapText="1"/>
    </xf>
    <xf numFmtId="0" fontId="5" fillId="8" borderId="24" xfId="0" applyFont="1" applyFill="1" applyBorder="1" applyAlignment="1">
      <alignment horizontal="center" vertical="center" wrapText="1"/>
    </xf>
    <xf numFmtId="0" fontId="5" fillId="8" borderId="102" xfId="0" applyFont="1" applyFill="1" applyBorder="1" applyAlignment="1">
      <alignment horizontal="center" vertical="center" wrapText="1"/>
    </xf>
    <xf numFmtId="37" fontId="10" fillId="3" borderId="67" xfId="19" applyNumberFormat="1" applyFont="1" applyFill="1" applyBorder="1" applyAlignment="1">
      <alignment horizontal="right" indent="1"/>
    </xf>
    <xf numFmtId="37" fontId="10" fillId="3" borderId="31" xfId="19" applyNumberFormat="1" applyFont="1" applyFill="1" applyBorder="1" applyAlignment="1">
      <alignment horizontal="right" indent="1"/>
    </xf>
    <xf numFmtId="37" fontId="10" fillId="3" borderId="32" xfId="19" applyNumberFormat="1" applyFont="1" applyFill="1" applyBorder="1" applyAlignment="1">
      <alignment horizontal="right" indent="1"/>
    </xf>
    <xf numFmtId="0" fontId="4" fillId="3" borderId="0" xfId="0" applyFont="1" applyFill="1" applyAlignment="1">
      <alignment horizontal="center"/>
    </xf>
    <xf numFmtId="0" fontId="5" fillId="8" borderId="88" xfId="0" applyFont="1" applyFill="1" applyBorder="1" applyAlignment="1">
      <alignment horizontal="center" vertical="center" wrapText="1"/>
    </xf>
    <xf numFmtId="0" fontId="5" fillId="8" borderId="160" xfId="0" applyFont="1" applyFill="1" applyBorder="1" applyAlignment="1">
      <alignment horizontal="center" vertical="center" wrapText="1"/>
    </xf>
    <xf numFmtId="0" fontId="5" fillId="8" borderId="162" xfId="0" applyFont="1" applyFill="1" applyBorder="1" applyAlignment="1">
      <alignment horizontal="center" vertical="center" wrapText="1"/>
    </xf>
    <xf numFmtId="0" fontId="5" fillId="8" borderId="97" xfId="0" applyFont="1" applyFill="1" applyBorder="1" applyAlignment="1">
      <alignment horizontal="center" vertical="center" wrapText="1"/>
    </xf>
    <xf numFmtId="0" fontId="5" fillId="8" borderId="163" xfId="0" applyFont="1" applyFill="1" applyBorder="1" applyAlignment="1">
      <alignment horizontal="center" vertical="center" wrapText="1"/>
    </xf>
    <xf numFmtId="0" fontId="5" fillId="8" borderId="95" xfId="0" applyFont="1" applyFill="1" applyBorder="1" applyAlignment="1">
      <alignment horizontal="center" vertical="center"/>
    </xf>
    <xf numFmtId="0" fontId="5" fillId="8" borderId="92" xfId="0" applyFont="1" applyFill="1" applyBorder="1" applyAlignment="1">
      <alignment horizontal="center" vertical="center"/>
    </xf>
    <xf numFmtId="0" fontId="5" fillId="8" borderId="93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94" xfId="0" applyFont="1" applyFill="1" applyBorder="1" applyAlignment="1">
      <alignment horizontal="center" wrapText="1"/>
    </xf>
    <xf numFmtId="0" fontId="5" fillId="8" borderId="24" xfId="0" applyFont="1" applyFill="1" applyBorder="1" applyAlignment="1">
      <alignment horizontal="center" wrapText="1"/>
    </xf>
    <xf numFmtId="0" fontId="5" fillId="8" borderId="23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10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41" fontId="5" fillId="2" borderId="109" xfId="14" applyNumberFormat="1" applyFont="1" applyBorder="1" applyAlignment="1">
      <alignment horizontal="center"/>
    </xf>
    <xf numFmtId="0" fontId="10" fillId="2" borderId="86" xfId="14" applyBorder="1"/>
    <xf numFmtId="0" fontId="10" fillId="2" borderId="106" xfId="14" applyBorder="1"/>
    <xf numFmtId="41" fontId="5" fillId="2" borderId="86" xfId="14" applyNumberFormat="1" applyFont="1" applyBorder="1" applyAlignment="1">
      <alignment horizontal="center"/>
    </xf>
    <xf numFmtId="41" fontId="5" fillId="2" borderId="106" xfId="14" applyNumberFormat="1" applyFont="1" applyBorder="1" applyAlignment="1">
      <alignment horizontal="center"/>
    </xf>
    <xf numFmtId="41" fontId="10" fillId="2" borderId="62" xfId="18" applyFont="1" applyBorder="1" applyAlignment="1">
      <alignment horizontal="center"/>
    </xf>
    <xf numFmtId="41" fontId="10" fillId="2" borderId="60" xfId="18" applyFont="1" applyBorder="1" applyAlignment="1">
      <alignment horizontal="center"/>
    </xf>
    <xf numFmtId="41" fontId="10" fillId="2" borderId="58" xfId="18" applyFont="1" applyBorder="1" applyAlignment="1">
      <alignment horizontal="center"/>
    </xf>
    <xf numFmtId="41" fontId="10" fillId="2" borderId="62" xfId="19" applyNumberFormat="1" applyFont="1" applyBorder="1" applyAlignment="1">
      <alignment horizontal="center"/>
    </xf>
    <xf numFmtId="41" fontId="10" fillId="2" borderId="60" xfId="19" applyNumberFormat="1" applyFont="1" applyBorder="1" applyAlignment="1">
      <alignment horizontal="center"/>
    </xf>
    <xf numFmtId="41" fontId="10" fillId="2" borderId="58" xfId="19" applyNumberFormat="1" applyFont="1" applyBorder="1" applyAlignment="1">
      <alignment horizontal="center"/>
    </xf>
    <xf numFmtId="41" fontId="6" fillId="8" borderId="85" xfId="14" applyNumberFormat="1" applyFont="1" applyFill="1" applyBorder="1" applyAlignment="1">
      <alignment horizontal="right"/>
    </xf>
    <xf numFmtId="41" fontId="6" fillId="8" borderId="86" xfId="14" applyNumberFormat="1" applyFont="1" applyFill="1" applyBorder="1" applyAlignment="1">
      <alignment horizontal="right"/>
    </xf>
    <xf numFmtId="41" fontId="6" fillId="8" borderId="107" xfId="14" applyNumberFormat="1" applyFont="1" applyFill="1" applyBorder="1" applyAlignment="1">
      <alignment horizontal="right"/>
    </xf>
    <xf numFmtId="41" fontId="5" fillId="8" borderId="56" xfId="14" applyNumberFormat="1" applyFont="1" applyFill="1" applyBorder="1" applyAlignment="1">
      <alignment horizontal="left"/>
    </xf>
    <xf numFmtId="41" fontId="10" fillId="8" borderId="60" xfId="14" applyNumberFormat="1" applyFill="1" applyBorder="1" applyAlignment="1">
      <alignment horizontal="left"/>
    </xf>
    <xf numFmtId="41" fontId="10" fillId="8" borderId="60" xfId="19" applyNumberFormat="1" applyFont="1" applyFill="1" applyBorder="1" applyAlignment="1"/>
    <xf numFmtId="41" fontId="10" fillId="8" borderId="72" xfId="19" applyNumberFormat="1" applyFont="1" applyFill="1" applyBorder="1" applyAlignment="1"/>
    <xf numFmtId="166" fontId="5" fillId="2" borderId="95" xfId="14" applyNumberFormat="1" applyFont="1" applyBorder="1" applyAlignment="1">
      <alignment horizontal="center" vertical="center" wrapText="1"/>
    </xf>
    <xf numFmtId="166" fontId="5" fillId="2" borderId="92" xfId="14" applyNumberFormat="1" applyFont="1" applyBorder="1" applyAlignment="1">
      <alignment horizontal="center" vertical="center" wrapText="1"/>
    </xf>
    <xf numFmtId="166" fontId="5" fillId="2" borderId="96" xfId="14" applyNumberFormat="1" applyFont="1" applyBorder="1" applyAlignment="1">
      <alignment horizontal="center" vertical="center" wrapText="1"/>
    </xf>
    <xf numFmtId="166" fontId="5" fillId="2" borderId="103" xfId="14" applyNumberFormat="1" applyFont="1" applyBorder="1" applyAlignment="1">
      <alignment horizontal="center" vertical="center" wrapText="1"/>
    </xf>
    <xf numFmtId="166" fontId="5" fillId="2" borderId="104" xfId="14" applyNumberFormat="1" applyFont="1" applyBorder="1" applyAlignment="1">
      <alignment horizontal="center" vertical="center" wrapText="1"/>
    </xf>
    <xf numFmtId="166" fontId="5" fillId="2" borderId="105" xfId="14" applyNumberFormat="1" applyFont="1" applyBorder="1" applyAlignment="1">
      <alignment horizontal="center" vertical="center" wrapText="1"/>
    </xf>
    <xf numFmtId="166" fontId="10" fillId="2" borderId="85" xfId="14" applyNumberFormat="1" applyBorder="1" applyAlignment="1">
      <alignment horizontal="center"/>
    </xf>
    <xf numFmtId="166" fontId="10" fillId="2" borderId="86" xfId="14" applyNumberFormat="1" applyBorder="1" applyAlignment="1">
      <alignment horizontal="center"/>
    </xf>
    <xf numFmtId="166" fontId="10" fillId="2" borderId="106" xfId="14" applyNumberFormat="1" applyBorder="1" applyAlignment="1">
      <alignment horizontal="center"/>
    </xf>
    <xf numFmtId="166" fontId="10" fillId="2" borderId="109" xfId="14" applyNumberFormat="1" applyBorder="1" applyAlignment="1">
      <alignment horizontal="center"/>
    </xf>
    <xf numFmtId="166" fontId="5" fillId="2" borderId="94" xfId="14" applyNumberFormat="1" applyFont="1" applyBorder="1" applyAlignment="1">
      <alignment horizontal="center" vertical="center" wrapText="1"/>
    </xf>
    <xf numFmtId="166" fontId="5" fillId="2" borderId="102" xfId="14" applyNumberFormat="1" applyFont="1" applyBorder="1" applyAlignment="1">
      <alignment horizontal="center" vertical="center" wrapText="1"/>
    </xf>
    <xf numFmtId="166" fontId="10" fillId="2" borderId="54" xfId="14" applyNumberFormat="1" applyBorder="1" applyAlignment="1">
      <alignment horizontal="right"/>
    </xf>
    <xf numFmtId="166" fontId="10" fillId="2" borderId="75" xfId="14" applyNumberFormat="1" applyBorder="1" applyAlignment="1">
      <alignment horizontal="right"/>
    </xf>
    <xf numFmtId="166" fontId="10" fillId="2" borderId="107" xfId="14" applyNumberFormat="1" applyBorder="1" applyAlignment="1">
      <alignment horizontal="center"/>
    </xf>
    <xf numFmtId="166" fontId="5" fillId="2" borderId="56" xfId="14" applyNumberFormat="1" applyFont="1" applyBorder="1" applyAlignment="1">
      <alignment horizontal="left"/>
    </xf>
    <xf numFmtId="166" fontId="5" fillId="2" borderId="88" xfId="14" applyNumberFormat="1" applyFont="1" applyBorder="1" applyAlignment="1">
      <alignment horizontal="center" vertical="center"/>
    </xf>
    <xf numFmtId="166" fontId="5" fillId="2" borderId="89" xfId="14" applyNumberFormat="1" applyFont="1" applyBorder="1" applyAlignment="1">
      <alignment horizontal="center" vertical="center"/>
    </xf>
    <xf numFmtId="166" fontId="5" fillId="2" borderId="90" xfId="14" applyNumberFormat="1" applyFont="1" applyBorder="1" applyAlignment="1">
      <alignment horizontal="center" vertical="center"/>
    </xf>
    <xf numFmtId="166" fontId="5" fillId="2" borderId="97" xfId="14" applyNumberFormat="1" applyFont="1" applyBorder="1" applyAlignment="1">
      <alignment horizontal="center" vertical="center"/>
    </xf>
    <xf numFmtId="166" fontId="5" fillId="2" borderId="84" xfId="14" applyNumberFormat="1" applyFont="1" applyBorder="1" applyAlignment="1">
      <alignment horizontal="center" vertical="center"/>
    </xf>
    <xf numFmtId="166" fontId="5" fillId="2" borderId="98" xfId="14" applyNumberFormat="1" applyFont="1" applyBorder="1" applyAlignment="1">
      <alignment horizontal="center" vertical="center"/>
    </xf>
    <xf numFmtId="166" fontId="5" fillId="2" borderId="50" xfId="14" applyNumberFormat="1" applyFont="1" applyBorder="1" applyAlignment="1">
      <alignment horizontal="center" vertical="center" wrapText="1"/>
    </xf>
    <xf numFmtId="166" fontId="5" fillId="2" borderId="52" xfId="14" applyNumberFormat="1" applyFont="1" applyBorder="1" applyAlignment="1">
      <alignment horizontal="center" vertical="center" wrapText="1"/>
    </xf>
    <xf numFmtId="166" fontId="5" fillId="2" borderId="91" xfId="14" applyNumberFormat="1" applyFont="1" applyBorder="1" applyAlignment="1">
      <alignment horizontal="center" vertical="center" wrapText="1"/>
    </xf>
    <xf numFmtId="166" fontId="5" fillId="2" borderId="93" xfId="14" applyNumberFormat="1" applyFont="1" applyBorder="1" applyAlignment="1">
      <alignment horizontal="center" vertical="center" wrapText="1"/>
    </xf>
    <xf numFmtId="166" fontId="5" fillId="2" borderId="100" xfId="14" applyNumberFormat="1" applyFont="1" applyBorder="1" applyAlignment="1">
      <alignment horizontal="center" vertical="center" wrapText="1"/>
    </xf>
    <xf numFmtId="166" fontId="5" fillId="2" borderId="101" xfId="14" applyNumberFormat="1" applyFont="1" applyBorder="1" applyAlignment="1">
      <alignment horizontal="center" vertical="center" wrapText="1"/>
    </xf>
    <xf numFmtId="166" fontId="5" fillId="2" borderId="91" xfId="14" applyNumberFormat="1" applyFont="1" applyBorder="1" applyAlignment="1">
      <alignment horizontal="center" vertical="center"/>
    </xf>
    <xf numFmtId="166" fontId="5" fillId="2" borderId="92" xfId="14" applyNumberFormat="1" applyFont="1" applyBorder="1" applyAlignment="1">
      <alignment horizontal="center" vertical="center"/>
    </xf>
    <xf numFmtId="41" fontId="10" fillId="8" borderId="59" xfId="19" applyNumberFormat="1" applyFont="1" applyFill="1" applyBorder="1" applyAlignment="1"/>
    <xf numFmtId="41" fontId="10" fillId="8" borderId="60" xfId="19" applyNumberFormat="1" applyFont="1" applyFill="1" applyBorder="1" applyAlignment="1">
      <alignment horizontal="center"/>
    </xf>
    <xf numFmtId="41" fontId="10" fillId="8" borderId="72" xfId="19" applyNumberFormat="1" applyFont="1" applyFill="1" applyBorder="1" applyAlignment="1">
      <alignment horizontal="center"/>
    </xf>
    <xf numFmtId="41" fontId="10" fillId="8" borderId="59" xfId="19" applyNumberFormat="1" applyFont="1" applyFill="1" applyBorder="1" applyAlignment="1">
      <alignment horizontal="center"/>
    </xf>
    <xf numFmtId="41" fontId="5" fillId="2" borderId="85" xfId="14" applyNumberFormat="1" applyFont="1" applyBorder="1" applyAlignment="1">
      <alignment horizontal="center"/>
    </xf>
    <xf numFmtId="41" fontId="5" fillId="2" borderId="85" xfId="14" applyNumberFormat="1" applyFont="1" applyBorder="1" applyAlignment="1">
      <alignment horizontal="right"/>
    </xf>
    <xf numFmtId="41" fontId="10" fillId="2" borderId="86" xfId="14" applyNumberFormat="1" applyBorder="1"/>
    <xf numFmtId="41" fontId="6" fillId="2" borderId="85" xfId="14" applyNumberFormat="1" applyFont="1" applyBorder="1" applyAlignment="1">
      <alignment horizontal="right"/>
    </xf>
    <xf numFmtId="41" fontId="6" fillId="2" borderId="86" xfId="14" applyNumberFormat="1" applyFont="1" applyBorder="1" applyAlignment="1">
      <alignment horizontal="right"/>
    </xf>
    <xf numFmtId="41" fontId="6" fillId="2" borderId="107" xfId="14" applyNumberFormat="1" applyFont="1" applyBorder="1" applyAlignment="1">
      <alignment horizontal="right"/>
    </xf>
    <xf numFmtId="41" fontId="10" fillId="8" borderId="55" xfId="14" applyNumberFormat="1" applyFill="1" applyBorder="1" applyAlignment="1">
      <alignment horizontal="center"/>
    </xf>
    <xf numFmtId="41" fontId="10" fillId="8" borderId="75" xfId="14" applyNumberFormat="1" applyFill="1" applyBorder="1" applyAlignment="1">
      <alignment horizontal="center"/>
    </xf>
    <xf numFmtId="41" fontId="10" fillId="8" borderId="60" xfId="19" applyNumberFormat="1" applyFont="1" applyFill="1" applyBorder="1" applyAlignment="1">
      <alignment horizontal="right"/>
    </xf>
    <xf numFmtId="41" fontId="10" fillId="8" borderId="72" xfId="19" applyNumberFormat="1" applyFont="1" applyFill="1" applyBorder="1" applyAlignment="1">
      <alignment horizontal="right"/>
    </xf>
    <xf numFmtId="166" fontId="10" fillId="2" borderId="0" xfId="14" applyNumberFormat="1" applyAlignment="1">
      <alignment horizontal="center"/>
    </xf>
    <xf numFmtId="166" fontId="51" fillId="2" borderId="0" xfId="14" applyNumberFormat="1" applyFont="1" applyAlignment="1">
      <alignment horizontal="center"/>
    </xf>
    <xf numFmtId="166" fontId="4" fillId="2" borderId="0" xfId="14" applyNumberFormat="1" applyFont="1" applyAlignment="1">
      <alignment horizontal="center"/>
    </xf>
    <xf numFmtId="37" fontId="44" fillId="3" borderId="82" xfId="19" applyNumberFormat="1" applyFont="1" applyFill="1" applyBorder="1" applyAlignment="1">
      <alignment horizontal="right" vertical="center"/>
    </xf>
    <xf numFmtId="37" fontId="44" fillId="3" borderId="83" xfId="19" applyNumberFormat="1" applyFont="1" applyFill="1" applyBorder="1" applyAlignment="1">
      <alignment horizontal="right" vertical="center"/>
    </xf>
    <xf numFmtId="37" fontId="44" fillId="3" borderId="84" xfId="19" applyNumberFormat="1" applyFont="1" applyFill="1" applyBorder="1" applyAlignment="1">
      <alignment horizontal="right" vertical="center"/>
    </xf>
    <xf numFmtId="0" fontId="43" fillId="3" borderId="0" xfId="14" applyFont="1" applyFill="1" applyAlignment="1">
      <alignment horizontal="center" vertical="center"/>
    </xf>
    <xf numFmtId="0" fontId="44" fillId="3" borderId="50" xfId="14" applyFont="1" applyFill="1" applyBorder="1" applyAlignment="1">
      <alignment horizontal="center" vertical="center" wrapText="1"/>
    </xf>
    <xf numFmtId="0" fontId="44" fillId="3" borderId="52" xfId="14" applyFont="1" applyFill="1" applyBorder="1" applyAlignment="1">
      <alignment horizontal="center" vertical="center" wrapText="1"/>
    </xf>
    <xf numFmtId="0" fontId="44" fillId="3" borderId="51" xfId="14" applyFont="1" applyFill="1" applyBorder="1" applyAlignment="1">
      <alignment horizontal="center" vertical="center"/>
    </xf>
    <xf numFmtId="0" fontId="44" fillId="3" borderId="53" xfId="14" applyFont="1" applyFill="1" applyBorder="1" applyAlignment="1">
      <alignment horizontal="center" vertical="center"/>
    </xf>
    <xf numFmtId="0" fontId="53" fillId="6" borderId="0" xfId="0" applyFont="1" applyFill="1" applyAlignment="1">
      <alignment horizontal="center"/>
    </xf>
    <xf numFmtId="0" fontId="5" fillId="6" borderId="120" xfId="0" applyFont="1" applyFill="1" applyBorder="1" applyAlignment="1">
      <alignment horizontal="right" indent="1"/>
    </xf>
    <xf numFmtId="0" fontId="10" fillId="6" borderId="130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center" vertical="center" wrapText="1"/>
    </xf>
    <xf numFmtId="0" fontId="5" fillId="6" borderId="121" xfId="0" applyFont="1" applyFill="1" applyBorder="1" applyAlignment="1">
      <alignment horizontal="center" vertical="center" wrapText="1"/>
    </xf>
    <xf numFmtId="169" fontId="10" fillId="6" borderId="147" xfId="0" applyNumberFormat="1" applyFont="1" applyFill="1" applyBorder="1" applyAlignment="1">
      <alignment horizontal="right" indent="1"/>
    </xf>
    <xf numFmtId="0" fontId="10" fillId="6" borderId="0" xfId="0" applyFont="1" applyFill="1" applyAlignment="1">
      <alignment horizontal="center"/>
    </xf>
    <xf numFmtId="0" fontId="10" fillId="6" borderId="120" xfId="0" applyFont="1" applyFill="1" applyBorder="1" applyAlignment="1">
      <alignment horizontal="center" vertical="center" wrapText="1"/>
    </xf>
    <xf numFmtId="0" fontId="5" fillId="6" borderId="150" xfId="0" applyFont="1" applyFill="1" applyBorder="1" applyAlignment="1">
      <alignment horizontal="left"/>
    </xf>
    <xf numFmtId="0" fontId="10" fillId="6" borderId="0" xfId="0" applyFont="1" applyFill="1" applyAlignment="1"/>
    <xf numFmtId="0" fontId="4" fillId="6" borderId="0" xfId="0" applyFont="1" applyFill="1" applyAlignment="1">
      <alignment horizontal="center"/>
    </xf>
    <xf numFmtId="0" fontId="5" fillId="6" borderId="122" xfId="0" applyFont="1" applyFill="1" applyBorder="1" applyAlignment="1">
      <alignment horizontal="center" vertical="center" wrapText="1"/>
    </xf>
    <xf numFmtId="0" fontId="5" fillId="6" borderId="120" xfId="0" applyFont="1" applyFill="1" applyBorder="1" applyAlignment="1">
      <alignment horizontal="center" vertical="center" wrapText="1"/>
    </xf>
    <xf numFmtId="0" fontId="5" fillId="6" borderId="137" xfId="0" applyFont="1" applyFill="1" applyBorder="1" applyAlignment="1">
      <alignment horizontal="center" vertical="center" wrapText="1"/>
    </xf>
    <xf numFmtId="166" fontId="51" fillId="0" borderId="0" xfId="4" applyNumberFormat="1" applyFont="1" applyAlignment="1" applyProtection="1">
      <alignment horizontal="center"/>
    </xf>
    <xf numFmtId="166" fontId="5" fillId="0" borderId="88" xfId="4" applyNumberFormat="1" applyFont="1" applyBorder="1" applyAlignment="1" applyProtection="1">
      <alignment horizontal="center" vertical="center"/>
    </xf>
    <xf numFmtId="166" fontId="5" fillId="0" borderId="89" xfId="4" applyNumberFormat="1" applyFont="1" applyBorder="1" applyAlignment="1" applyProtection="1">
      <alignment horizontal="center" vertical="center"/>
    </xf>
    <xf numFmtId="166" fontId="5" fillId="0" borderId="90" xfId="4" applyNumberFormat="1" applyFont="1" applyBorder="1" applyAlignment="1" applyProtection="1">
      <alignment horizontal="center" vertical="center"/>
    </xf>
    <xf numFmtId="166" fontId="5" fillId="0" borderId="97" xfId="4" applyNumberFormat="1" applyFont="1" applyBorder="1" applyAlignment="1" applyProtection="1">
      <alignment horizontal="center" vertical="center"/>
    </xf>
    <xf numFmtId="166" fontId="5" fillId="0" borderId="84" xfId="4" applyNumberFormat="1" applyFont="1" applyBorder="1" applyAlignment="1" applyProtection="1">
      <alignment horizontal="center" vertical="center"/>
    </xf>
    <xf numFmtId="166" fontId="5" fillId="0" borderId="98" xfId="4" applyNumberFormat="1" applyFont="1" applyBorder="1" applyAlignment="1" applyProtection="1">
      <alignment horizontal="center" vertical="center"/>
    </xf>
    <xf numFmtId="166" fontId="10" fillId="0" borderId="0" xfId="4" applyNumberFormat="1" applyAlignment="1" applyProtection="1">
      <alignment horizontal="center"/>
    </xf>
    <xf numFmtId="41" fontId="5" fillId="0" borderId="85" xfId="4" applyNumberFormat="1" applyFont="1" applyBorder="1" applyAlignment="1" applyProtection="1">
      <alignment horizontal="center"/>
    </xf>
    <xf numFmtId="0" fontId="10" fillId="0" borderId="86" xfId="4" applyBorder="1" applyProtection="1"/>
    <xf numFmtId="0" fontId="10" fillId="0" borderId="106" xfId="4" applyBorder="1" applyProtection="1"/>
    <xf numFmtId="41" fontId="6" fillId="0" borderId="85" xfId="4" applyNumberFormat="1" applyFont="1" applyBorder="1" applyAlignment="1" applyProtection="1">
      <alignment horizontal="right"/>
    </xf>
    <xf numFmtId="41" fontId="6" fillId="0" borderId="86" xfId="4" applyNumberFormat="1" applyFont="1" applyBorder="1" applyAlignment="1" applyProtection="1">
      <alignment horizontal="right"/>
    </xf>
    <xf numFmtId="41" fontId="6" fillId="0" borderId="107" xfId="4" applyNumberFormat="1" applyFont="1" applyBorder="1" applyAlignment="1" applyProtection="1">
      <alignment horizontal="right"/>
    </xf>
    <xf numFmtId="41" fontId="5" fillId="0" borderId="85" xfId="4" applyNumberFormat="1" applyFont="1" applyBorder="1" applyAlignment="1" applyProtection="1">
      <alignment horizontal="right"/>
    </xf>
    <xf numFmtId="41" fontId="10" fillId="0" borderId="86" xfId="4" applyNumberFormat="1" applyBorder="1" applyProtection="1"/>
    <xf numFmtId="41" fontId="5" fillId="0" borderId="109" xfId="4" applyNumberFormat="1" applyFont="1" applyBorder="1" applyAlignment="1" applyProtection="1">
      <alignment horizontal="center"/>
    </xf>
    <xf numFmtId="41" fontId="10" fillId="4" borderId="60" xfId="5" applyNumberFormat="1" applyFill="1" applyBorder="1" applyAlignment="1" applyProtection="1">
      <alignment horizontal="center"/>
    </xf>
    <xf numFmtId="41" fontId="10" fillId="4" borderId="72" xfId="5" applyNumberFormat="1" applyFill="1" applyBorder="1" applyAlignment="1" applyProtection="1">
      <alignment horizontal="center"/>
    </xf>
    <xf numFmtId="41" fontId="10" fillId="4" borderId="59" xfId="5" applyNumberFormat="1" applyFill="1" applyBorder="1" applyAlignment="1" applyProtection="1">
      <alignment horizontal="center"/>
    </xf>
    <xf numFmtId="166" fontId="4" fillId="0" borderId="0" xfId="4" applyNumberFormat="1" applyFont="1" applyAlignment="1" applyProtection="1">
      <alignment horizontal="center"/>
    </xf>
    <xf numFmtId="166" fontId="5" fillId="0" borderId="95" xfId="4" applyNumberFormat="1" applyFont="1" applyBorder="1" applyAlignment="1" applyProtection="1">
      <alignment horizontal="center" vertical="center" wrapText="1"/>
    </xf>
    <xf numFmtId="166" fontId="5" fillId="0" borderId="92" xfId="4" applyNumberFormat="1" applyFont="1" applyBorder="1" applyAlignment="1" applyProtection="1">
      <alignment horizontal="center" vertical="center" wrapText="1"/>
    </xf>
    <xf numFmtId="166" fontId="5" fillId="0" borderId="96" xfId="4" applyNumberFormat="1" applyFont="1" applyBorder="1" applyAlignment="1" applyProtection="1">
      <alignment horizontal="center" vertical="center" wrapText="1"/>
    </xf>
    <xf numFmtId="166" fontId="5" fillId="0" borderId="103" xfId="4" applyNumberFormat="1" applyFont="1" applyBorder="1" applyAlignment="1" applyProtection="1">
      <alignment horizontal="center" vertical="center" wrapText="1"/>
    </xf>
    <xf numFmtId="166" fontId="5" fillId="0" borderId="104" xfId="4" applyNumberFormat="1" applyFont="1" applyBorder="1" applyAlignment="1" applyProtection="1">
      <alignment horizontal="center" vertical="center" wrapText="1"/>
    </xf>
    <xf numFmtId="166" fontId="5" fillId="0" borderId="105" xfId="4" applyNumberFormat="1" applyFont="1" applyBorder="1" applyAlignment="1" applyProtection="1">
      <alignment horizontal="center" vertical="center" wrapText="1"/>
    </xf>
    <xf numFmtId="41" fontId="5" fillId="4" borderId="56" xfId="4" applyNumberFormat="1" applyFont="1" applyFill="1" applyBorder="1" applyAlignment="1" applyProtection="1">
      <alignment horizontal="left"/>
    </xf>
    <xf numFmtId="166" fontId="5" fillId="0" borderId="91" xfId="4" applyNumberFormat="1" applyFont="1" applyBorder="1" applyAlignment="1" applyProtection="1">
      <alignment horizontal="center" vertical="center"/>
    </xf>
    <xf numFmtId="166" fontId="5" fillId="0" borderId="92" xfId="4" applyNumberFormat="1" applyFont="1" applyBorder="1" applyAlignment="1" applyProtection="1">
      <alignment horizontal="center" vertical="center"/>
    </xf>
    <xf numFmtId="41" fontId="10" fillId="4" borderId="55" xfId="4" applyNumberFormat="1" applyFill="1" applyBorder="1" applyAlignment="1" applyProtection="1">
      <alignment horizontal="center"/>
    </xf>
    <xf numFmtId="41" fontId="10" fillId="4" borderId="75" xfId="4" applyNumberFormat="1" applyFill="1" applyBorder="1" applyAlignment="1" applyProtection="1">
      <alignment horizontal="center"/>
    </xf>
    <xf numFmtId="166" fontId="5" fillId="0" borderId="91" xfId="4" applyNumberFormat="1" applyFont="1" applyBorder="1" applyAlignment="1" applyProtection="1">
      <alignment horizontal="center" vertical="center" wrapText="1"/>
    </xf>
    <xf numFmtId="166" fontId="5" fillId="0" borderId="93" xfId="4" applyNumberFormat="1" applyFont="1" applyBorder="1" applyAlignment="1" applyProtection="1">
      <alignment horizontal="center" vertical="center" wrapText="1"/>
    </xf>
    <xf numFmtId="166" fontId="5" fillId="0" borderId="100" xfId="4" applyNumberFormat="1" applyFont="1" applyBorder="1" applyAlignment="1" applyProtection="1">
      <alignment horizontal="center" vertical="center" wrapText="1"/>
    </xf>
    <xf numFmtId="166" fontId="5" fillId="0" borderId="101" xfId="4" applyNumberFormat="1" applyFont="1" applyBorder="1" applyAlignment="1" applyProtection="1">
      <alignment horizontal="center" vertical="center" wrapText="1"/>
    </xf>
    <xf numFmtId="166" fontId="5" fillId="0" borderId="94" xfId="4" applyNumberFormat="1" applyFont="1" applyBorder="1" applyAlignment="1" applyProtection="1">
      <alignment horizontal="center" vertical="center" wrapText="1"/>
    </xf>
    <xf numFmtId="166" fontId="5" fillId="0" borderId="102" xfId="4" applyNumberFormat="1" applyFont="1" applyBorder="1" applyAlignment="1" applyProtection="1">
      <alignment horizontal="center" vertical="center" wrapText="1"/>
    </xf>
    <xf numFmtId="166" fontId="5" fillId="0" borderId="50" xfId="4" applyNumberFormat="1" applyFont="1" applyBorder="1" applyAlignment="1" applyProtection="1">
      <alignment horizontal="center" vertical="center" wrapText="1"/>
    </xf>
    <xf numFmtId="166" fontId="5" fillId="0" borderId="52" xfId="4" applyNumberFormat="1" applyFont="1" applyBorder="1" applyAlignment="1" applyProtection="1">
      <alignment horizontal="center" vertical="center" wrapText="1"/>
    </xf>
    <xf numFmtId="4" fontId="34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43" fontId="22" fillId="0" borderId="0" xfId="2" applyFont="1" applyAlignment="1" applyProtection="1">
      <alignment horizontal="center" vertical="center"/>
    </xf>
    <xf numFmtId="43" fontId="22" fillId="0" borderId="0" xfId="2" applyFont="1" applyAlignment="1" applyProtection="1">
      <alignment horizontal="right" vertical="top"/>
    </xf>
    <xf numFmtId="4" fontId="22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0" fontId="80" fillId="0" borderId="0" xfId="0" applyFont="1" applyAlignment="1">
      <alignment horizontal="left" vertical="center" wrapText="1"/>
    </xf>
    <xf numFmtId="0" fontId="80" fillId="0" borderId="0" xfId="0" quotePrefix="1" applyFont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49" fontId="18" fillId="0" borderId="0" xfId="0" applyNumberFormat="1" applyFont="1" applyAlignment="1">
      <alignment horizontal="left" vertical="center" wrapText="1"/>
    </xf>
    <xf numFmtId="16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23">
    <cellStyle name="Comma" xfId="2" builtinId="3"/>
    <cellStyle name="Comma [0]" xfId="11" builtinId="6"/>
    <cellStyle name="Comma [0] 2" xfId="8" xr:uid="{00000000-0005-0000-0000-000008000000}"/>
    <cellStyle name="Comma [0] 2 2" xfId="18" xr:uid="{FB233D3E-FEA5-4D02-8399-4047E344189F}"/>
    <cellStyle name="Comma [0] 3 2" xfId="22" xr:uid="{8306FBFB-B9C8-475D-9681-88F51A0958CB}"/>
    <cellStyle name="Comma 2" xfId="3" xr:uid="{00000000-0005-0000-0000-000003000000}"/>
    <cellStyle name="Comma 2 2" xfId="5" xr:uid="{00000000-0005-0000-0000-000005000000}"/>
    <cellStyle name="Comma 2 3" xfId="19" xr:uid="{A151125E-612B-48AE-BAE5-8FC313CCA219}"/>
    <cellStyle name="Comma 3" xfId="10" xr:uid="{00000000-0005-0000-0000-00000A000000}"/>
    <cellStyle name="Comma 4" xfId="15" xr:uid="{73AD7453-E3E8-4A58-9089-9048D97D2CB2}"/>
    <cellStyle name="Normal" xfId="0" builtinId="0"/>
    <cellStyle name="Normal 10" xfId="20" xr:uid="{8800C2E2-A4CE-43F3-8866-6676E033A38D}"/>
    <cellStyle name="Normal 2" xfId="1" xr:uid="{00000000-0005-0000-0000-000001000000}"/>
    <cellStyle name="Normal 2 2" xfId="4" xr:uid="{00000000-0005-0000-0000-000004000000}"/>
    <cellStyle name="Normal 2 3" xfId="14" xr:uid="{72A6EB33-8E1D-4CE6-85F5-041E986A8E0D}"/>
    <cellStyle name="Normal 3" xfId="9" xr:uid="{00000000-0005-0000-0000-000009000000}"/>
    <cellStyle name="Normal 3 2" xfId="21" xr:uid="{80E0C0D8-2F20-48B9-9623-EF91D57D5468}"/>
    <cellStyle name="Normal 4" xfId="13" xr:uid="{E8583425-BF5E-4CD7-A6E3-36C0442AD14C}"/>
    <cellStyle name="Normal_REJOMULYO-11 2" xfId="6" xr:uid="{00000000-0005-0000-0000-000006000000}"/>
    <cellStyle name="Normal_REJOMULYO-11 2 2" xfId="16" xr:uid="{D91C8C26-DA79-4C50-B16B-1470327D0977}"/>
    <cellStyle name="Normal_TURI" xfId="12" xr:uid="{52F5771D-0D95-4BE7-A847-9FE1BA55F95E}"/>
    <cellStyle name="Normal_TURI 2 2" xfId="7" xr:uid="{00000000-0005-0000-0000-000007000000}"/>
    <cellStyle name="Normal_TURI 2 2 2" xfId="17" xr:uid="{5D75093F-3E14-40A0-A48B-4E705FCC552E}"/>
  </cellStyles>
  <dxfs count="7">
    <dxf>
      <font>
        <color rgb="FF00B050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6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6.xml"/><Relationship Id="rId58" Type="http://schemas.openxmlformats.org/officeDocument/2006/relationships/externalLink" Target="externalLinks/externalLink11.xml"/><Relationship Id="rId66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56" Type="http://schemas.openxmlformats.org/officeDocument/2006/relationships/externalLink" Target="externalLinks/externalLink9.xml"/><Relationship Id="rId64" Type="http://schemas.openxmlformats.org/officeDocument/2006/relationships/externalLink" Target="externalLinks/externalLink17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.xml"/><Relationship Id="rId80" Type="http://www.wps.cn/officeDocument/2020/cellImage" Target="NUL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2.xml"/><Relationship Id="rId67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7.xml"/><Relationship Id="rId62" Type="http://schemas.openxmlformats.org/officeDocument/2006/relationships/externalLink" Target="externalLinks/externalLink15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Relationship Id="rId57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5.xml"/><Relationship Id="rId60" Type="http://schemas.openxmlformats.org/officeDocument/2006/relationships/externalLink" Target="externalLinks/externalLink13.xml"/><Relationship Id="rId65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3.xml"/><Relationship Id="rId55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528821</xdr:colOff>
      <xdr:row>53</xdr:row>
      <xdr:rowOff>142987</xdr:rowOff>
    </xdr:from>
    <xdr:to>
      <xdr:col>17</xdr:col>
      <xdr:colOff>571500</xdr:colOff>
      <xdr:row>61</xdr:row>
      <xdr:rowOff>130970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99040" y="26812987"/>
          <a:ext cx="2852554" cy="133338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Disusun Oleh:</a:t>
          </a: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Ketua Timsun RKPDesa</a:t>
          </a:r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ACHMAD BAGUS SADEWA, SH</a:t>
          </a:r>
        </a:p>
      </xdr:txBody>
    </xdr:sp>
    <xdr:clientData/>
  </xdr:twoCellAnchor>
  <xdr:twoCellAnchor>
    <xdr:from>
      <xdr:col>4</xdr:col>
      <xdr:colOff>35809</xdr:colOff>
      <xdr:row>53</xdr:row>
      <xdr:rowOff>130977</xdr:rowOff>
    </xdr:from>
    <xdr:to>
      <xdr:col>7</xdr:col>
      <xdr:colOff>1226344</xdr:colOff>
      <xdr:row>63</xdr:row>
      <xdr:rowOff>130977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71715" y="26800977"/>
          <a:ext cx="2857410" cy="1678781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Mengetahui,</a:t>
          </a: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Pj. Kepala Desa Pandanlandung</a:t>
          </a:r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r>
            <a:rPr lang="en-US" altLang="zh-CN" sz="1100" i="1" u="sng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HARI SULISTIONO,</a:t>
          </a:r>
          <a:r>
            <a:rPr lang="en-US" altLang="zh-CN" sz="1100" i="1" u="sng" baseline="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 S.AP</a:t>
          </a:r>
          <a:endParaRPr lang="en-US" altLang="zh-CN" sz="1100" i="1" u="sng">
            <a:solidFill>
              <a:srgbClr val="000000"/>
            </a:solidFill>
            <a:latin typeface="Arial" panose="00000000000000000000" charset="0"/>
            <a:ea typeface="Arial" panose="00000000000000000000" charset="0"/>
          </a:endParaRP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Penata</a:t>
          </a: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NIP. </a:t>
          </a:r>
          <a:r>
            <a:rPr lang="en-US" altLang="zh-CN" sz="12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196810071993021001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290694</xdr:colOff>
      <xdr:row>128</xdr:row>
      <xdr:rowOff>21938</xdr:rowOff>
    </xdr:from>
    <xdr:to>
      <xdr:col>17</xdr:col>
      <xdr:colOff>989</xdr:colOff>
      <xdr:row>136</xdr:row>
      <xdr:rowOff>29765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93741" y="11997641"/>
          <a:ext cx="1595451" cy="1277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Disusun Oleh:</a:t>
          </a: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Ketua Timsun RKPDesa</a:t>
          </a:r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ACHMAD BAGUS SADEWA</a:t>
          </a:r>
        </a:p>
      </xdr:txBody>
    </xdr:sp>
    <xdr:clientData/>
  </xdr:twoCellAnchor>
  <xdr:twoCellAnchor>
    <xdr:from>
      <xdr:col>4</xdr:col>
      <xdr:colOff>47715</xdr:colOff>
      <xdr:row>127</xdr:row>
      <xdr:rowOff>0</xdr:rowOff>
    </xdr:from>
    <xdr:to>
      <xdr:col>7</xdr:col>
      <xdr:colOff>152808</xdr:colOff>
      <xdr:row>137</xdr:row>
      <xdr:rowOff>0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83776" y="11936942"/>
          <a:ext cx="2224263" cy="156716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Mengetahui,</a:t>
          </a: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Pj. Kepala Desa Pandanlandung</a:t>
          </a:r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r>
            <a:rPr lang="en-US" altLang="zh-CN" sz="1100" i="1" u="sng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NURUL HUDA, S.Sos</a:t>
          </a: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Penata Tingkat I</a:t>
          </a:r>
        </a:p>
        <a:p>
          <a:pPr algn="ctr"/>
          <a:r>
            <a:rPr lang="en-US" altLang="zh-CN" sz="11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NIP. </a:t>
          </a:r>
          <a:r>
            <a:rPr lang="en-US" altLang="zh-CN" sz="1200" i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196810071993021001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3535113</xdr:colOff>
      <xdr:row>70</xdr:row>
      <xdr:rowOff>44824</xdr:rowOff>
    </xdr:from>
    <xdr:to>
      <xdr:col>4</xdr:col>
      <xdr:colOff>743068</xdr:colOff>
      <xdr:row>79</xdr:row>
      <xdr:rowOff>28015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4145834" y="8673353"/>
          <a:ext cx="939513" cy="1025338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800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Pj. Kepala Desa Pandanlandung</a:t>
          </a:r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endParaRPr/>
        </a:p>
        <a:p>
          <a:pPr algn="ctr"/>
          <a:r>
            <a:rPr lang="en-US" altLang="zh-CN" sz="800" u="sng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R. DENY DARMAWAN EFENDI, SH., M.Si</a:t>
          </a:r>
        </a:p>
        <a:p>
          <a:pPr algn="ctr"/>
          <a:r>
            <a:rPr lang="en-US" altLang="zh-CN" sz="8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Penata Tingkat I</a:t>
          </a:r>
        </a:p>
        <a:p>
          <a:pPr algn="ctr"/>
          <a:r>
            <a:rPr lang="en-US" altLang="zh-CN" sz="8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NIP. 198112152009021006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dok\campur%20(e)\Jembatan%20Baj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dok\campur%2520(e)\Jembatan%2520Baj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dok\campur%20(e)\Documents%20and%20Settings\fathur\My%20Documents\CHECKING%20RAB%20&amp;%20DESAIN%20T-AGUNG%2006\Jalan%20TELFORD%201-Bu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dok\campur%2520(e)\Documents%2520and%2520Settings\fathur\My%2520Documents\CHECKING%2520RAB%2520&amp;%2520DESAIN%2520T-AGUNG%252006\Jalan%2520TELFORD%25201-Bu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dok\campur%20(e)\Disain%20&amp;%20RAB\sraten\RAB%20JLN%20Boto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ndok\campur%2520(e)\Disain%2520&amp;%2520RAB\sraten\RAB%2520JLN%2520Bot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24/RKPDESA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SI%20KESOS\Downloads\7.%20RAB%20MAKADAM%20TPT%20PLAT%20BETON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BDes\RAB%20RKP%202026\DRANASE%20RT%202%20RW%201.xls" TargetMode="External"/><Relationship Id="rId1" Type="http://schemas.openxmlformats.org/officeDocument/2006/relationships/externalLinkPath" Target="/APBDes/RAB%20RKP%202026/DRANASE%20RT%202%20RW%2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25/RAB%20FISIK/2.%20.JEMBATAN%20BARU%20Gandul%20-%20Sempukerep%20202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25/RAB%20FISIK/4.%20RENOVASI%20JEMBATAN%20Dusun%20Precet%20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PBDes/Realisasi%202025/7.%20RAB%20MAKADAM%20TPT%20PLAT%20BETON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BDes\RAB%20RKP%202026\1.%20Aspal%20Hotmix%20%20(153%20x%203)%20RW%2002.xls" TargetMode="External"/><Relationship Id="rId1" Type="http://schemas.openxmlformats.org/officeDocument/2006/relationships/externalLinkPath" Target="/APBDes/RAB%20RKP%202026/1.%20Aspal%20Hotmix%20%20(153%20x%203)%20RW%2002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BDes\RAB%20RKP%202026\RAB%20Sal.%20Drainase%20Pasangan%20Batu%20jl%20gapurO%20rt%2015.xlsx" TargetMode="External"/><Relationship Id="rId1" Type="http://schemas.openxmlformats.org/officeDocument/2006/relationships/externalLinkPath" Target="/APBDes/RAB%20RKP%202026/RAB%20Sal.%20Drainase%20Pasangan%20Batu%20jl%20gapurO%20rt%2015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BDes\RAB%20RKP%202026\1.%20Gorong%20Gorong%20D40%20GG%20Nurul%20Yaqin%20RW.%20004.xls" TargetMode="External"/><Relationship Id="rId1" Type="http://schemas.openxmlformats.org/officeDocument/2006/relationships/externalLinkPath" Target="/APBDes/RAB%20RKP%202026/1.%20Gorong%20Gorong%20D40%20GG%20Nurul%20Yaqin%20RW.%20004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BDes\RAB%20RKP%202026\29.Paving%20+%20Gorong%20Gorong%20%20diameter%2030%20GG%20Sekolahan%20SDN%203.xls" TargetMode="External"/><Relationship Id="rId1" Type="http://schemas.openxmlformats.org/officeDocument/2006/relationships/externalLinkPath" Target="/APBDes/RAB%20RKP%202026/29.Paving%20+%20Gorong%20Gorong%20%20diameter%2030%20GG%20Sekolahan%20SDN%203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BDes\RAB%20RKP%202026\DRANASE%20RT%2026%20RW%206.xls" TargetMode="External"/><Relationship Id="rId1" Type="http://schemas.openxmlformats.org/officeDocument/2006/relationships/externalLinkPath" Target="/APBDes/RAB%20RKP%202026/DRANASE%20RT%2026%20RW%2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SI%20KESOS\Downloads\2.%20.JEMBATAN%20BARU%20Gandul%20-%20Sempukerep%20202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SI%20KESOS\Downloads\4.%20RENOVASI%20JEMBATAN%20Dusun%20Precet%20202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25/RAB%20FISIK/44.JALAN%20PAVING%20RT%2033%20RW%207%20KRAJ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rincian"/>
      <sheetName val="narasi"/>
      <sheetName val="revisi"/>
      <sheetName val="POT2"/>
      <sheetName val="POT Jemb. besi"/>
      <sheetName val="Jemb. besi II"/>
      <sheetName val="POT3"/>
      <sheetName val="POT1"/>
      <sheetName val="T depan"/>
      <sheetName val="Sheet1"/>
      <sheetName val="harga (2)"/>
    </sheetNames>
    <sheetDataSet>
      <sheetData sheetId="0"/>
      <sheetData sheetId="1" refreshError="1">
        <row r="11">
          <cell r="M11" t="str">
            <v>Bahan</v>
          </cell>
          <cell r="N11">
            <v>0</v>
          </cell>
          <cell r="O11">
            <v>0</v>
          </cell>
          <cell r="P11">
            <v>0</v>
          </cell>
          <cell r="Q11">
            <v>22170475</v>
          </cell>
          <cell r="R11">
            <v>18621000</v>
          </cell>
          <cell r="S11">
            <v>3532500</v>
          </cell>
        </row>
        <row r="12">
          <cell r="M12" t="str">
            <v>Alat</v>
          </cell>
          <cell r="N12">
            <v>0</v>
          </cell>
          <cell r="O12">
            <v>0</v>
          </cell>
          <cell r="P12">
            <v>0</v>
          </cell>
          <cell r="Q12">
            <v>2478000</v>
          </cell>
          <cell r="R12">
            <v>2098000</v>
          </cell>
          <cell r="S12">
            <v>380000</v>
          </cell>
        </row>
        <row r="13">
          <cell r="M13" t="str">
            <v>Upah</v>
          </cell>
          <cell r="N13">
            <v>0</v>
          </cell>
          <cell r="O13">
            <v>0</v>
          </cell>
          <cell r="P13">
            <v>0</v>
          </cell>
          <cell r="Q13">
            <v>11865000</v>
          </cell>
          <cell r="R13">
            <v>10755000</v>
          </cell>
          <cell r="S13">
            <v>1110000</v>
          </cell>
        </row>
        <row r="14">
          <cell r="M14" t="str">
            <v>Pasir Urug</v>
          </cell>
          <cell r="N14">
            <v>111.3</v>
          </cell>
          <cell r="O14">
            <v>111</v>
          </cell>
          <cell r="P14">
            <v>0</v>
          </cell>
          <cell r="Q14">
            <v>4062450</v>
          </cell>
          <cell r="R14">
            <v>4051500</v>
          </cell>
          <cell r="S14">
            <v>0</v>
          </cell>
        </row>
        <row r="15">
          <cell r="M15" t="str">
            <v>Batu Gebal</v>
          </cell>
          <cell r="N15">
            <v>285.97000000000003</v>
          </cell>
          <cell r="O15">
            <v>286</v>
          </cell>
          <cell r="P15">
            <v>0</v>
          </cell>
          <cell r="Q15">
            <v>12296710.000000002</v>
          </cell>
          <cell r="R15">
            <v>12298000</v>
          </cell>
          <cell r="S15">
            <v>0</v>
          </cell>
        </row>
        <row r="16">
          <cell r="I16">
            <v>18621000</v>
          </cell>
          <cell r="L16">
            <v>3532500</v>
          </cell>
          <cell r="M16" t="str">
            <v>Sirtu</v>
          </cell>
          <cell r="N16">
            <v>59.19</v>
          </cell>
          <cell r="O16">
            <v>59</v>
          </cell>
          <cell r="P16">
            <v>0</v>
          </cell>
          <cell r="Q16">
            <v>2278815</v>
          </cell>
          <cell r="R16">
            <v>2271500</v>
          </cell>
          <cell r="S16">
            <v>0</v>
          </cell>
        </row>
        <row r="17">
          <cell r="M17" t="str">
            <v>Tanah Urug</v>
          </cell>
          <cell r="N17">
            <v>157</v>
          </cell>
          <cell r="O17">
            <v>0</v>
          </cell>
          <cell r="P17">
            <v>157</v>
          </cell>
          <cell r="Q17">
            <v>3532500</v>
          </cell>
          <cell r="R17">
            <v>0</v>
          </cell>
          <cell r="S17">
            <v>3532500</v>
          </cell>
        </row>
        <row r="18">
          <cell r="M18" t="str">
            <v>Sewa Wales</v>
          </cell>
          <cell r="N18">
            <v>5</v>
          </cell>
          <cell r="O18">
            <v>5</v>
          </cell>
          <cell r="P18">
            <v>0</v>
          </cell>
          <cell r="Q18">
            <v>1325000</v>
          </cell>
          <cell r="R18">
            <v>1325000</v>
          </cell>
          <cell r="S18">
            <v>0</v>
          </cell>
        </row>
        <row r="19">
          <cell r="M19" t="str">
            <v>Mob/Demob Wales</v>
          </cell>
          <cell r="N19">
            <v>1</v>
          </cell>
          <cell r="O19">
            <v>1</v>
          </cell>
          <cell r="P19">
            <v>0</v>
          </cell>
          <cell r="Q19">
            <v>600000</v>
          </cell>
          <cell r="R19">
            <v>600000</v>
          </cell>
          <cell r="S19">
            <v>0</v>
          </cell>
        </row>
        <row r="20">
          <cell r="M20" t="str">
            <v>Palu 5 kg</v>
          </cell>
          <cell r="N20">
            <v>2</v>
          </cell>
          <cell r="O20">
            <v>0</v>
          </cell>
          <cell r="P20">
            <v>2</v>
          </cell>
          <cell r="Q20">
            <v>80000</v>
          </cell>
          <cell r="R20">
            <v>0</v>
          </cell>
          <cell r="S20">
            <v>80000</v>
          </cell>
        </row>
        <row r="21">
          <cell r="M21" t="str">
            <v>Cangkul</v>
          </cell>
          <cell r="N21">
            <v>5</v>
          </cell>
          <cell r="O21">
            <v>0</v>
          </cell>
          <cell r="P21">
            <v>5</v>
          </cell>
          <cell r="Q21">
            <v>100000</v>
          </cell>
          <cell r="R21">
            <v>0</v>
          </cell>
          <cell r="S21">
            <v>100000</v>
          </cell>
        </row>
        <row r="22">
          <cell r="M22" t="str">
            <v>Meteran 50 m</v>
          </cell>
          <cell r="N22">
            <v>1</v>
          </cell>
          <cell r="O22">
            <v>1</v>
          </cell>
          <cell r="P22">
            <v>0</v>
          </cell>
          <cell r="Q22">
            <v>150000</v>
          </cell>
          <cell r="R22">
            <v>150000</v>
          </cell>
          <cell r="S22">
            <v>0</v>
          </cell>
        </row>
        <row r="23">
          <cell r="M23" t="str">
            <v>Benang</v>
          </cell>
          <cell r="N23">
            <v>2</v>
          </cell>
          <cell r="O23">
            <v>2</v>
          </cell>
          <cell r="P23">
            <v>0</v>
          </cell>
          <cell r="Q23">
            <v>2000</v>
          </cell>
          <cell r="R23">
            <v>2000</v>
          </cell>
          <cell r="S23">
            <v>0</v>
          </cell>
        </row>
        <row r="24">
          <cell r="M24" t="str">
            <v>Cikrak</v>
          </cell>
          <cell r="N24">
            <v>7</v>
          </cell>
          <cell r="O24">
            <v>7</v>
          </cell>
          <cell r="P24">
            <v>0</v>
          </cell>
          <cell r="Q24">
            <v>21000</v>
          </cell>
          <cell r="R24">
            <v>21000</v>
          </cell>
          <cell r="S24">
            <v>0</v>
          </cell>
        </row>
        <row r="25">
          <cell r="M25" t="str">
            <v>Papan Proyek</v>
          </cell>
          <cell r="N25">
            <v>1</v>
          </cell>
          <cell r="O25">
            <v>1</v>
          </cell>
          <cell r="P25">
            <v>0</v>
          </cell>
          <cell r="Q25">
            <v>200000</v>
          </cell>
          <cell r="R25">
            <v>200000</v>
          </cell>
          <cell r="S25">
            <v>0</v>
          </cell>
        </row>
        <row r="26">
          <cell r="M26" t="str">
            <v>Pelaporan</v>
          </cell>
          <cell r="N26">
            <v>1</v>
          </cell>
          <cell r="O26">
            <v>1</v>
          </cell>
          <cell r="P26">
            <v>0</v>
          </cell>
          <cell r="Q26">
            <v>300000</v>
          </cell>
          <cell r="R26">
            <v>300000</v>
          </cell>
          <cell r="S26">
            <v>0</v>
          </cell>
        </row>
        <row r="27">
          <cell r="I27">
            <v>2098000</v>
          </cell>
          <cell r="L27">
            <v>380000</v>
          </cell>
          <cell r="M27" t="str">
            <v>Alat bantu (swadaya)</v>
          </cell>
          <cell r="N27">
            <v>1</v>
          </cell>
          <cell r="O27">
            <v>0</v>
          </cell>
          <cell r="P27">
            <v>1</v>
          </cell>
          <cell r="Q27">
            <v>200000</v>
          </cell>
          <cell r="R27">
            <v>0</v>
          </cell>
          <cell r="S27">
            <v>200000</v>
          </cell>
        </row>
        <row r="28">
          <cell r="M28" t="str">
            <v>Pekerja</v>
          </cell>
          <cell r="N28">
            <v>741</v>
          </cell>
          <cell r="O28">
            <v>667</v>
          </cell>
          <cell r="P28">
            <v>74</v>
          </cell>
          <cell r="Q28">
            <v>11115000</v>
          </cell>
          <cell r="R28">
            <v>10005000</v>
          </cell>
          <cell r="S28">
            <v>1110000</v>
          </cell>
        </row>
        <row r="29">
          <cell r="E29">
            <v>74</v>
          </cell>
          <cell r="F29">
            <v>667</v>
          </cell>
          <cell r="M29" t="str">
            <v>Mandor</v>
          </cell>
          <cell r="N29">
            <v>3</v>
          </cell>
          <cell r="O29">
            <v>3</v>
          </cell>
          <cell r="P29">
            <v>0</v>
          </cell>
          <cell r="Q29">
            <v>750000</v>
          </cell>
          <cell r="R29">
            <v>750000</v>
          </cell>
          <cell r="S29">
            <v>0</v>
          </cell>
        </row>
        <row r="30">
          <cell r="F30">
            <v>3</v>
          </cell>
        </row>
        <row r="32">
          <cell r="I32">
            <v>10755000</v>
          </cell>
          <cell r="L32">
            <v>1110000</v>
          </cell>
        </row>
        <row r="37">
          <cell r="I37">
            <v>500000</v>
          </cell>
          <cell r="L37">
            <v>0</v>
          </cell>
        </row>
      </sheetData>
      <sheetData sheetId="2" refreshError="1">
        <row r="2">
          <cell r="B2" t="str">
            <v>Batu Gebal</v>
          </cell>
          <cell r="C2">
            <v>36000</v>
          </cell>
          <cell r="D2" t="str">
            <v>m3</v>
          </cell>
        </row>
        <row r="3">
          <cell r="B3" t="str">
            <v>Batu Pecah 2/3</v>
          </cell>
          <cell r="C3">
            <v>91000</v>
          </cell>
          <cell r="D3" t="str">
            <v>m3</v>
          </cell>
        </row>
        <row r="4">
          <cell r="B4" t="str">
            <v>Besi O8</v>
          </cell>
          <cell r="C4">
            <v>22000</v>
          </cell>
          <cell r="D4" t="str">
            <v>lonjor</v>
          </cell>
        </row>
        <row r="5">
          <cell r="B5" t="str">
            <v>Besi O10</v>
          </cell>
          <cell r="C5">
            <v>32000</v>
          </cell>
          <cell r="D5" t="str">
            <v>lonjor</v>
          </cell>
        </row>
        <row r="6">
          <cell r="B6" t="str">
            <v>Buis Beton Dia.40</v>
          </cell>
          <cell r="C6">
            <v>43000</v>
          </cell>
          <cell r="D6" t="str">
            <v>buah</v>
          </cell>
        </row>
        <row r="7">
          <cell r="B7" t="str">
            <v>Buis Beton Dia.50</v>
          </cell>
          <cell r="C7">
            <v>53000</v>
          </cell>
          <cell r="D7" t="str">
            <v>buah</v>
          </cell>
        </row>
        <row r="8">
          <cell r="B8" t="str">
            <v>Pasir Cor</v>
          </cell>
          <cell r="C8">
            <v>85000</v>
          </cell>
          <cell r="D8" t="str">
            <v>m3</v>
          </cell>
        </row>
        <row r="9">
          <cell r="B9" t="str">
            <v>Pasir Pasang</v>
          </cell>
          <cell r="C9">
            <v>36000</v>
          </cell>
          <cell r="D9" t="str">
            <v>m3</v>
          </cell>
        </row>
        <row r="10">
          <cell r="B10" t="str">
            <v>Pasir Urug</v>
          </cell>
          <cell r="C10">
            <v>32500</v>
          </cell>
          <cell r="D10" t="str">
            <v>m3</v>
          </cell>
        </row>
        <row r="11">
          <cell r="B11" t="str">
            <v>Pipa PVC 2" AW</v>
          </cell>
          <cell r="C11">
            <v>55500</v>
          </cell>
          <cell r="D11" t="str">
            <v>lonjor</v>
          </cell>
        </row>
        <row r="12">
          <cell r="B12" t="str">
            <v>Semen PC 50 kg</v>
          </cell>
          <cell r="C12">
            <v>30000</v>
          </cell>
          <cell r="D12" t="str">
            <v>zak</v>
          </cell>
        </row>
        <row r="13">
          <cell r="B13" t="str">
            <v>Sirtu</v>
          </cell>
          <cell r="C13">
            <v>36500</v>
          </cell>
          <cell r="D13" t="str">
            <v>m3</v>
          </cell>
        </row>
        <row r="14">
          <cell r="B14" t="str">
            <v>Tanah Urug</v>
          </cell>
          <cell r="C14">
            <v>10000</v>
          </cell>
          <cell r="D14" t="str">
            <v>m3</v>
          </cell>
        </row>
        <row r="15">
          <cell r="B15" t="str">
            <v>Pekerja</v>
          </cell>
          <cell r="C15">
            <v>12000</v>
          </cell>
          <cell r="D15" t="str">
            <v>HOK</v>
          </cell>
        </row>
        <row r="16">
          <cell r="B16" t="str">
            <v>Tukang</v>
          </cell>
          <cell r="C16">
            <v>20000</v>
          </cell>
          <cell r="D16" t="str">
            <v>HOK</v>
          </cell>
        </row>
        <row r="17">
          <cell r="B17" t="str">
            <v>Mandor</v>
          </cell>
          <cell r="C17">
            <v>200000</v>
          </cell>
          <cell r="D17" t="str">
            <v>bulan</v>
          </cell>
        </row>
        <row r="18">
          <cell r="B18" t="str">
            <v>Sewa Wales</v>
          </cell>
          <cell r="C18">
            <v>200000</v>
          </cell>
          <cell r="D18" t="str">
            <v>hari</v>
          </cell>
        </row>
        <row r="19">
          <cell r="B19" t="str">
            <v>Mob/Demob Wales</v>
          </cell>
          <cell r="C19">
            <v>600000</v>
          </cell>
          <cell r="D19" t="str">
            <v>Ls</v>
          </cell>
        </row>
        <row r="20">
          <cell r="B20" t="str">
            <v>Palu 5 kg</v>
          </cell>
          <cell r="C20">
            <v>40000</v>
          </cell>
          <cell r="D20" t="str">
            <v>buah</v>
          </cell>
        </row>
        <row r="21">
          <cell r="B21" t="str">
            <v>Palu 2 kg</v>
          </cell>
          <cell r="C21">
            <v>10000</v>
          </cell>
          <cell r="D21" t="str">
            <v>buah</v>
          </cell>
        </row>
        <row r="22">
          <cell r="B22" t="str">
            <v>Cangkul</v>
          </cell>
          <cell r="C22">
            <v>20000</v>
          </cell>
          <cell r="D22" t="str">
            <v>buah</v>
          </cell>
        </row>
        <row r="23">
          <cell r="B23" t="str">
            <v>Sekop</v>
          </cell>
          <cell r="C23">
            <v>20000</v>
          </cell>
          <cell r="D23" t="str">
            <v>buah</v>
          </cell>
        </row>
        <row r="24">
          <cell r="B24" t="str">
            <v>Meteran 50 m</v>
          </cell>
          <cell r="C24">
            <v>150000</v>
          </cell>
          <cell r="D24" t="str">
            <v>rol</v>
          </cell>
        </row>
        <row r="25">
          <cell r="B25" t="str">
            <v>Kawat Bendrat</v>
          </cell>
          <cell r="C25">
            <v>8000</v>
          </cell>
          <cell r="D25" t="str">
            <v>kg</v>
          </cell>
        </row>
        <row r="26">
          <cell r="B26" t="str">
            <v>Cikrak</v>
          </cell>
          <cell r="C26">
            <v>3000</v>
          </cell>
          <cell r="D26" t="str">
            <v>buah</v>
          </cell>
        </row>
        <row r="27">
          <cell r="B27" t="str">
            <v>Ember</v>
          </cell>
          <cell r="C27">
            <v>3000</v>
          </cell>
          <cell r="D27" t="str">
            <v>buah</v>
          </cell>
        </row>
        <row r="28">
          <cell r="B28" t="str">
            <v>Benang</v>
          </cell>
          <cell r="C28">
            <v>1000</v>
          </cell>
          <cell r="D28" t="str">
            <v>rol</v>
          </cell>
        </row>
        <row r="29">
          <cell r="B29" t="str">
            <v>Pelaporan</v>
          </cell>
          <cell r="C29">
            <v>300000</v>
          </cell>
          <cell r="D29" t="str">
            <v>ls</v>
          </cell>
        </row>
        <row r="30">
          <cell r="B30" t="str">
            <v>Papan Proyek</v>
          </cell>
          <cell r="C30">
            <v>150000</v>
          </cell>
          <cell r="D30" t="str">
            <v>buah</v>
          </cell>
        </row>
        <row r="31">
          <cell r="B31" t="str">
            <v>Rokok 369</v>
          </cell>
          <cell r="C31">
            <v>2500</v>
          </cell>
          <cell r="D31" t="str">
            <v>bungkus</v>
          </cell>
        </row>
        <row r="32">
          <cell r="B32" t="str">
            <v>Kayu reng</v>
          </cell>
          <cell r="C32">
            <v>4000</v>
          </cell>
          <cell r="D32" t="str">
            <v>batang</v>
          </cell>
        </row>
        <row r="33">
          <cell r="B33" t="str">
            <v>Papan 2/20</v>
          </cell>
          <cell r="C33">
            <v>11000</v>
          </cell>
          <cell r="D33" t="str">
            <v>lembar</v>
          </cell>
        </row>
        <row r="34">
          <cell r="B34" t="str">
            <v>Alat Bantu (swadaya)</v>
          </cell>
          <cell r="C34">
            <v>200000</v>
          </cell>
          <cell r="D34" t="str">
            <v>ls</v>
          </cell>
        </row>
      </sheetData>
      <sheetData sheetId="3" refreshError="1">
        <row r="12">
          <cell r="N12" t="str">
            <v>Bahan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N13" t="str">
            <v>Alat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N14" t="str">
            <v>Upah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N15" t="str">
            <v>Batu Gebal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N16" t="str">
            <v>Pasir Cor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J17">
            <v>0</v>
          </cell>
          <cell r="M17">
            <v>0</v>
          </cell>
          <cell r="N17" t="str">
            <v>Semen PC 50 kg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N18" t="str">
            <v>Buis Beton Dia.40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N19" t="str">
            <v>Palu 5 kg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N20" t="str">
            <v>Ember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N21" t="str">
            <v>Cangkul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N22" t="str">
            <v>Tukang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J23">
            <v>0</v>
          </cell>
          <cell r="M23">
            <v>0</v>
          </cell>
          <cell r="N23" t="str">
            <v>Pekerja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5">
          <cell r="G25">
            <v>0</v>
          </cell>
        </row>
        <row r="26">
          <cell r="G26">
            <v>0</v>
          </cell>
        </row>
        <row r="28">
          <cell r="J28">
            <v>0</v>
          </cell>
          <cell r="M28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rincian"/>
      <sheetName val="narasi"/>
      <sheetName val="revisi"/>
      <sheetName val="POT2"/>
      <sheetName val="POT Jemb. besi"/>
      <sheetName val="Jemb. besi II"/>
      <sheetName val="POT3"/>
      <sheetName val="POT1"/>
      <sheetName val="T depan"/>
      <sheetName val="Sheet1"/>
      <sheetName val="harga (2)"/>
    </sheetNames>
    <sheetDataSet>
      <sheetData sheetId="0"/>
      <sheetData sheetId="1">
        <row r="11">
          <cell r="M11" t="str">
            <v>Bahan</v>
          </cell>
          <cell r="N11">
            <v>0</v>
          </cell>
          <cell r="O11">
            <v>0</v>
          </cell>
          <cell r="P11">
            <v>0</v>
          </cell>
          <cell r="Q11">
            <v>22170475</v>
          </cell>
          <cell r="R11">
            <v>18621000</v>
          </cell>
          <cell r="S11">
            <v>3532500</v>
          </cell>
        </row>
        <row r="12">
          <cell r="M12" t="str">
            <v>Alat</v>
          </cell>
          <cell r="N12">
            <v>0</v>
          </cell>
          <cell r="O12">
            <v>0</v>
          </cell>
          <cell r="P12">
            <v>0</v>
          </cell>
          <cell r="Q12">
            <v>2478000</v>
          </cell>
          <cell r="R12">
            <v>2098000</v>
          </cell>
          <cell r="S12">
            <v>380000</v>
          </cell>
        </row>
        <row r="13">
          <cell r="M13" t="str">
            <v>Upah</v>
          </cell>
          <cell r="N13">
            <v>0</v>
          </cell>
          <cell r="O13">
            <v>0</v>
          </cell>
          <cell r="P13">
            <v>0</v>
          </cell>
          <cell r="Q13">
            <v>11865000</v>
          </cell>
          <cell r="R13">
            <v>10755000</v>
          </cell>
          <cell r="S13">
            <v>1110000</v>
          </cell>
        </row>
        <row r="14">
          <cell r="M14" t="str">
            <v>Pasir Urug</v>
          </cell>
          <cell r="N14">
            <v>111.3</v>
          </cell>
          <cell r="O14">
            <v>111</v>
          </cell>
          <cell r="P14">
            <v>0</v>
          </cell>
          <cell r="Q14">
            <v>4062450</v>
          </cell>
          <cell r="R14">
            <v>4051500</v>
          </cell>
          <cell r="S14">
            <v>0</v>
          </cell>
        </row>
        <row r="15">
          <cell r="M15" t="str">
            <v>Batu Gebal</v>
          </cell>
          <cell r="N15">
            <v>285.97000000000003</v>
          </cell>
          <cell r="O15">
            <v>286</v>
          </cell>
          <cell r="P15">
            <v>0</v>
          </cell>
          <cell r="Q15">
            <v>12296710.000000002</v>
          </cell>
          <cell r="R15">
            <v>12298000</v>
          </cell>
          <cell r="S15">
            <v>0</v>
          </cell>
        </row>
        <row r="16">
          <cell r="I16">
            <v>18621000</v>
          </cell>
          <cell r="L16">
            <v>3532500</v>
          </cell>
          <cell r="M16" t="str">
            <v>Sirtu</v>
          </cell>
          <cell r="N16">
            <v>59.19</v>
          </cell>
          <cell r="O16">
            <v>59</v>
          </cell>
          <cell r="P16">
            <v>0</v>
          </cell>
          <cell r="Q16">
            <v>2278815</v>
          </cell>
          <cell r="R16">
            <v>2271500</v>
          </cell>
          <cell r="S16">
            <v>0</v>
          </cell>
        </row>
        <row r="17">
          <cell r="M17" t="str">
            <v>Tanah Urug</v>
          </cell>
          <cell r="N17">
            <v>157</v>
          </cell>
          <cell r="O17">
            <v>0</v>
          </cell>
          <cell r="P17">
            <v>157</v>
          </cell>
          <cell r="Q17">
            <v>3532500</v>
          </cell>
          <cell r="R17">
            <v>0</v>
          </cell>
          <cell r="S17">
            <v>3532500</v>
          </cell>
        </row>
        <row r="18">
          <cell r="M18" t="str">
            <v>Sewa Wales</v>
          </cell>
          <cell r="N18">
            <v>5</v>
          </cell>
          <cell r="O18">
            <v>5</v>
          </cell>
          <cell r="P18">
            <v>0</v>
          </cell>
          <cell r="Q18">
            <v>1325000</v>
          </cell>
          <cell r="R18">
            <v>1325000</v>
          </cell>
          <cell r="S18">
            <v>0</v>
          </cell>
        </row>
        <row r="19">
          <cell r="M19" t="str">
            <v>Mob/Demob Wales</v>
          </cell>
          <cell r="N19">
            <v>1</v>
          </cell>
          <cell r="O19">
            <v>1</v>
          </cell>
          <cell r="P19">
            <v>0</v>
          </cell>
          <cell r="Q19">
            <v>600000</v>
          </cell>
          <cell r="R19">
            <v>600000</v>
          </cell>
          <cell r="S19">
            <v>0</v>
          </cell>
        </row>
        <row r="20">
          <cell r="M20" t="str">
            <v>Palu 5 kg</v>
          </cell>
          <cell r="N20">
            <v>2</v>
          </cell>
          <cell r="O20">
            <v>0</v>
          </cell>
          <cell r="P20">
            <v>2</v>
          </cell>
          <cell r="Q20">
            <v>80000</v>
          </cell>
          <cell r="R20">
            <v>0</v>
          </cell>
          <cell r="S20">
            <v>80000</v>
          </cell>
        </row>
        <row r="21">
          <cell r="M21" t="str">
            <v>Cangkul</v>
          </cell>
          <cell r="N21">
            <v>5</v>
          </cell>
          <cell r="O21">
            <v>0</v>
          </cell>
          <cell r="P21">
            <v>5</v>
          </cell>
          <cell r="Q21">
            <v>100000</v>
          </cell>
          <cell r="R21">
            <v>0</v>
          </cell>
          <cell r="S21">
            <v>100000</v>
          </cell>
        </row>
        <row r="22">
          <cell r="M22" t="str">
            <v>Meteran 50 m</v>
          </cell>
          <cell r="N22">
            <v>1</v>
          </cell>
          <cell r="O22">
            <v>1</v>
          </cell>
          <cell r="P22">
            <v>0</v>
          </cell>
          <cell r="Q22">
            <v>150000</v>
          </cell>
          <cell r="R22">
            <v>150000</v>
          </cell>
          <cell r="S22">
            <v>0</v>
          </cell>
        </row>
        <row r="23">
          <cell r="M23" t="str">
            <v>Benang</v>
          </cell>
          <cell r="N23">
            <v>2</v>
          </cell>
          <cell r="O23">
            <v>2</v>
          </cell>
          <cell r="P23">
            <v>0</v>
          </cell>
          <cell r="Q23">
            <v>2000</v>
          </cell>
          <cell r="R23">
            <v>2000</v>
          </cell>
          <cell r="S23">
            <v>0</v>
          </cell>
        </row>
        <row r="24">
          <cell r="M24" t="str">
            <v>Cikrak</v>
          </cell>
          <cell r="N24">
            <v>7</v>
          </cell>
          <cell r="O24">
            <v>7</v>
          </cell>
          <cell r="P24">
            <v>0</v>
          </cell>
          <cell r="Q24">
            <v>21000</v>
          </cell>
          <cell r="R24">
            <v>21000</v>
          </cell>
          <cell r="S24">
            <v>0</v>
          </cell>
        </row>
        <row r="25">
          <cell r="M25" t="str">
            <v>Papan Proyek</v>
          </cell>
          <cell r="N25">
            <v>1</v>
          </cell>
          <cell r="O25">
            <v>1</v>
          </cell>
          <cell r="P25">
            <v>0</v>
          </cell>
          <cell r="Q25">
            <v>200000</v>
          </cell>
          <cell r="R25">
            <v>200000</v>
          </cell>
          <cell r="S25">
            <v>0</v>
          </cell>
        </row>
        <row r="26">
          <cell r="M26" t="str">
            <v>Pelaporan</v>
          </cell>
          <cell r="N26">
            <v>1</v>
          </cell>
          <cell r="O26">
            <v>1</v>
          </cell>
          <cell r="P26">
            <v>0</v>
          </cell>
          <cell r="Q26">
            <v>300000</v>
          </cell>
          <cell r="R26">
            <v>300000</v>
          </cell>
          <cell r="S26">
            <v>0</v>
          </cell>
        </row>
        <row r="27">
          <cell r="I27">
            <v>2098000</v>
          </cell>
          <cell r="L27">
            <v>380000</v>
          </cell>
          <cell r="M27" t="str">
            <v>Alat bantu (swadaya)</v>
          </cell>
          <cell r="N27">
            <v>1</v>
          </cell>
          <cell r="O27">
            <v>0</v>
          </cell>
          <cell r="P27">
            <v>1</v>
          </cell>
          <cell r="Q27">
            <v>200000</v>
          </cell>
          <cell r="R27">
            <v>0</v>
          </cell>
          <cell r="S27">
            <v>200000</v>
          </cell>
        </row>
        <row r="28">
          <cell r="M28" t="str">
            <v>Pekerja</v>
          </cell>
          <cell r="N28">
            <v>741</v>
          </cell>
          <cell r="O28">
            <v>667</v>
          </cell>
          <cell r="P28">
            <v>74</v>
          </cell>
          <cell r="Q28">
            <v>11115000</v>
          </cell>
          <cell r="R28">
            <v>10005000</v>
          </cell>
          <cell r="S28">
            <v>1110000</v>
          </cell>
        </row>
        <row r="29">
          <cell r="E29">
            <v>74</v>
          </cell>
          <cell r="F29">
            <v>667</v>
          </cell>
          <cell r="M29" t="str">
            <v>Mandor</v>
          </cell>
          <cell r="N29">
            <v>3</v>
          </cell>
          <cell r="O29">
            <v>3</v>
          </cell>
          <cell r="P29">
            <v>0</v>
          </cell>
          <cell r="Q29">
            <v>750000</v>
          </cell>
          <cell r="R29">
            <v>750000</v>
          </cell>
          <cell r="S29">
            <v>0</v>
          </cell>
        </row>
        <row r="30">
          <cell r="F30">
            <v>3</v>
          </cell>
        </row>
        <row r="32">
          <cell r="I32">
            <v>10755000</v>
          </cell>
          <cell r="L32">
            <v>1110000</v>
          </cell>
        </row>
        <row r="37">
          <cell r="I37">
            <v>500000</v>
          </cell>
          <cell r="L37">
            <v>0</v>
          </cell>
        </row>
      </sheetData>
      <sheetData sheetId="2">
        <row r="2">
          <cell r="B2" t="str">
            <v>Batu Gebal</v>
          </cell>
          <cell r="C2">
            <v>36000</v>
          </cell>
          <cell r="D2" t="str">
            <v>m3</v>
          </cell>
        </row>
        <row r="3">
          <cell r="B3" t="str">
            <v>Batu Pecah 2/3</v>
          </cell>
          <cell r="C3">
            <v>91000</v>
          </cell>
          <cell r="D3" t="str">
            <v>m3</v>
          </cell>
        </row>
        <row r="4">
          <cell r="B4" t="str">
            <v>Besi O8</v>
          </cell>
          <cell r="C4">
            <v>22000</v>
          </cell>
          <cell r="D4" t="str">
            <v>lonjor</v>
          </cell>
        </row>
        <row r="5">
          <cell r="B5" t="str">
            <v>Besi O10</v>
          </cell>
          <cell r="C5">
            <v>32000</v>
          </cell>
          <cell r="D5" t="str">
            <v>lonjor</v>
          </cell>
        </row>
        <row r="6">
          <cell r="B6" t="str">
            <v>Buis Beton Dia.40</v>
          </cell>
          <cell r="C6">
            <v>43000</v>
          </cell>
          <cell r="D6" t="str">
            <v>buah</v>
          </cell>
        </row>
        <row r="7">
          <cell r="B7" t="str">
            <v>Buis Beton Dia.50</v>
          </cell>
          <cell r="C7">
            <v>53000</v>
          </cell>
          <cell r="D7" t="str">
            <v>buah</v>
          </cell>
        </row>
        <row r="8">
          <cell r="B8" t="str">
            <v>Pasir Cor</v>
          </cell>
          <cell r="C8">
            <v>85000</v>
          </cell>
          <cell r="D8" t="str">
            <v>m3</v>
          </cell>
        </row>
        <row r="9">
          <cell r="B9" t="str">
            <v>Pasir Pasang</v>
          </cell>
          <cell r="C9">
            <v>36000</v>
          </cell>
          <cell r="D9" t="str">
            <v>m3</v>
          </cell>
        </row>
        <row r="10">
          <cell r="B10" t="str">
            <v>Pasir Urug</v>
          </cell>
          <cell r="C10">
            <v>32500</v>
          </cell>
          <cell r="D10" t="str">
            <v>m3</v>
          </cell>
        </row>
        <row r="11">
          <cell r="B11" t="str">
            <v>Pipa PVC 2" AW</v>
          </cell>
          <cell r="C11">
            <v>55500</v>
          </cell>
          <cell r="D11" t="str">
            <v>lonjor</v>
          </cell>
        </row>
        <row r="12">
          <cell r="B12" t="str">
            <v>Semen PC 50 kg</v>
          </cell>
          <cell r="C12">
            <v>30000</v>
          </cell>
          <cell r="D12" t="str">
            <v>zak</v>
          </cell>
        </row>
        <row r="13">
          <cell r="B13" t="str">
            <v>Sirtu</v>
          </cell>
          <cell r="C13">
            <v>36500</v>
          </cell>
          <cell r="D13" t="str">
            <v>m3</v>
          </cell>
        </row>
        <row r="14">
          <cell r="B14" t="str">
            <v>Tanah Urug</v>
          </cell>
          <cell r="C14">
            <v>10000</v>
          </cell>
          <cell r="D14" t="str">
            <v>m3</v>
          </cell>
        </row>
        <row r="15">
          <cell r="B15" t="str">
            <v>Pekerja</v>
          </cell>
          <cell r="C15">
            <v>12000</v>
          </cell>
          <cell r="D15" t="str">
            <v>HOK</v>
          </cell>
        </row>
        <row r="16">
          <cell r="B16" t="str">
            <v>Tukang</v>
          </cell>
          <cell r="C16">
            <v>20000</v>
          </cell>
          <cell r="D16" t="str">
            <v>HOK</v>
          </cell>
        </row>
        <row r="17">
          <cell r="B17" t="str">
            <v>Mandor</v>
          </cell>
          <cell r="C17">
            <v>200000</v>
          </cell>
          <cell r="D17" t="str">
            <v>bulan</v>
          </cell>
        </row>
        <row r="18">
          <cell r="B18" t="str">
            <v>Sewa Wales</v>
          </cell>
          <cell r="C18">
            <v>200000</v>
          </cell>
          <cell r="D18" t="str">
            <v>hari</v>
          </cell>
        </row>
        <row r="19">
          <cell r="B19" t="str">
            <v>Mob/Demob Wales</v>
          </cell>
          <cell r="C19">
            <v>600000</v>
          </cell>
          <cell r="D19" t="str">
            <v>Ls</v>
          </cell>
        </row>
        <row r="20">
          <cell r="B20" t="str">
            <v>Palu 5 kg</v>
          </cell>
          <cell r="C20">
            <v>40000</v>
          </cell>
          <cell r="D20" t="str">
            <v>buah</v>
          </cell>
        </row>
        <row r="21">
          <cell r="B21" t="str">
            <v>Palu 2 kg</v>
          </cell>
          <cell r="C21">
            <v>10000</v>
          </cell>
          <cell r="D21" t="str">
            <v>buah</v>
          </cell>
        </row>
        <row r="22">
          <cell r="B22" t="str">
            <v>Cangkul</v>
          </cell>
          <cell r="C22">
            <v>20000</v>
          </cell>
          <cell r="D22" t="str">
            <v>buah</v>
          </cell>
        </row>
        <row r="23">
          <cell r="B23" t="str">
            <v>Sekop</v>
          </cell>
          <cell r="C23">
            <v>20000</v>
          </cell>
          <cell r="D23" t="str">
            <v>buah</v>
          </cell>
        </row>
        <row r="24">
          <cell r="B24" t="str">
            <v>Meteran 50 m</v>
          </cell>
          <cell r="C24">
            <v>150000</v>
          </cell>
          <cell r="D24" t="str">
            <v>rol</v>
          </cell>
        </row>
        <row r="25">
          <cell r="B25" t="str">
            <v>Kawat Bendrat</v>
          </cell>
          <cell r="C25">
            <v>8000</v>
          </cell>
          <cell r="D25" t="str">
            <v>kg</v>
          </cell>
        </row>
        <row r="26">
          <cell r="B26" t="str">
            <v>Cikrak</v>
          </cell>
          <cell r="C26">
            <v>3000</v>
          </cell>
          <cell r="D26" t="str">
            <v>buah</v>
          </cell>
        </row>
        <row r="27">
          <cell r="B27" t="str">
            <v>Ember</v>
          </cell>
          <cell r="C27">
            <v>3000</v>
          </cell>
          <cell r="D27" t="str">
            <v>buah</v>
          </cell>
        </row>
        <row r="28">
          <cell r="B28" t="str">
            <v>Benang</v>
          </cell>
          <cell r="C28">
            <v>1000</v>
          </cell>
          <cell r="D28" t="str">
            <v>rol</v>
          </cell>
        </row>
        <row r="29">
          <cell r="B29" t="str">
            <v>Pelaporan</v>
          </cell>
          <cell r="C29">
            <v>300000</v>
          </cell>
          <cell r="D29" t="str">
            <v>ls</v>
          </cell>
        </row>
        <row r="30">
          <cell r="B30" t="str">
            <v>Papan Proyek</v>
          </cell>
          <cell r="C30">
            <v>150000</v>
          </cell>
          <cell r="D30" t="str">
            <v>buah</v>
          </cell>
        </row>
        <row r="31">
          <cell r="B31" t="str">
            <v>Rokok 369</v>
          </cell>
          <cell r="C31">
            <v>2500</v>
          </cell>
          <cell r="D31" t="str">
            <v>bungkus</v>
          </cell>
        </row>
        <row r="32">
          <cell r="B32" t="str">
            <v>Kayu reng</v>
          </cell>
          <cell r="C32">
            <v>4000</v>
          </cell>
          <cell r="D32" t="str">
            <v>batang</v>
          </cell>
        </row>
        <row r="33">
          <cell r="B33" t="str">
            <v>Papan 2/20</v>
          </cell>
          <cell r="C33">
            <v>11000</v>
          </cell>
          <cell r="D33" t="str">
            <v>lembar</v>
          </cell>
        </row>
        <row r="34">
          <cell r="B34" t="str">
            <v>Alat Bantu (swadaya)</v>
          </cell>
          <cell r="C34">
            <v>200000</v>
          </cell>
          <cell r="D34" t="str">
            <v>ls</v>
          </cell>
        </row>
      </sheetData>
      <sheetData sheetId="3">
        <row r="12">
          <cell r="N12" t="str">
            <v>Bahan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N13" t="str">
            <v>Alat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N14" t="str">
            <v>Upah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N15" t="str">
            <v>Batu Gebal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N16" t="str">
            <v>Pasir Cor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J17">
            <v>0</v>
          </cell>
          <cell r="M17">
            <v>0</v>
          </cell>
          <cell r="N17" t="str">
            <v>Semen PC 50 kg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N18" t="str">
            <v>Buis Beton Dia.40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N19" t="str">
            <v>Palu 5 kg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N20" t="str">
            <v>Ember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N21" t="str">
            <v>Cangkul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N22" t="str">
            <v>Tukang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J23">
            <v>0</v>
          </cell>
          <cell r="M23">
            <v>0</v>
          </cell>
          <cell r="N23" t="str">
            <v>Pekerja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5">
          <cell r="G25">
            <v>0</v>
          </cell>
        </row>
        <row r="26">
          <cell r="G26">
            <v>0</v>
          </cell>
        </row>
        <row r="28">
          <cell r="J28">
            <v>0</v>
          </cell>
          <cell r="M28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"/>
      <sheetName val="ENTRY2"/>
      <sheetName val="H Satuan"/>
      <sheetName val="Galian"/>
      <sheetName val="Urugan"/>
      <sheetName val="MAP"/>
      <sheetName val="SAP"/>
      <sheetName val="VAP"/>
      <sheetName val="Hit Jln"/>
      <sheetName val="RAB-Jln"/>
      <sheetName val="Anal Rabat"/>
      <sheetName val="RAB Rabat"/>
      <sheetName val="nal talud"/>
      <sheetName val="RAB-Grng"/>
      <sheetName val="RAB Talud"/>
      <sheetName val="Rekap Rab"/>
      <sheetName val="Rekap Rab (2)"/>
      <sheetName val="gbr jlan"/>
      <sheetName val="gbr gor"/>
      <sheetName val="ANALGR"/>
      <sheetName val="Fom Bantu"/>
      <sheetName val="Jln Telasah"/>
      <sheetName val="situasi"/>
      <sheetName val="RAB Jemb"/>
    </sheetNames>
    <sheetDataSet>
      <sheetData sheetId="0"/>
      <sheetData sheetId="1"/>
      <sheetData sheetId="2">
        <row r="14">
          <cell r="F14">
            <v>55000</v>
          </cell>
        </row>
        <row r="17">
          <cell r="F17">
            <v>45000</v>
          </cell>
        </row>
        <row r="19">
          <cell r="F19">
            <v>34000</v>
          </cell>
        </row>
        <row r="27">
          <cell r="F27">
            <v>20000</v>
          </cell>
        </row>
        <row r="30">
          <cell r="F30">
            <v>18000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"/>
      <sheetName val="ENTRY2"/>
      <sheetName val="H Satuan"/>
      <sheetName val="Galian"/>
      <sheetName val="Urugan"/>
      <sheetName val="MAP"/>
      <sheetName val="SAP"/>
      <sheetName val="VAP"/>
      <sheetName val="Hit Jln"/>
      <sheetName val="RAB-Jln"/>
      <sheetName val="Anal Rabat"/>
      <sheetName val="RAB Rabat"/>
      <sheetName val="nal talud"/>
      <sheetName val="RAB-Grng"/>
      <sheetName val="RAB Talud"/>
      <sheetName val="Rekap Rab"/>
      <sheetName val="Rekap Rab (2)"/>
      <sheetName val="gbr jlan"/>
      <sheetName val="gbr gor"/>
      <sheetName val="ANALGR"/>
      <sheetName val="Fom Bantu"/>
      <sheetName val="Jln Telasah"/>
      <sheetName val="situasi"/>
      <sheetName val="RAB Jemb"/>
    </sheetNames>
    <sheetDataSet>
      <sheetData sheetId="0"/>
      <sheetData sheetId="1"/>
      <sheetData sheetId="2">
        <row r="14">
          <cell r="F14">
            <v>55000</v>
          </cell>
        </row>
        <row r="17">
          <cell r="F17">
            <v>45000</v>
          </cell>
        </row>
        <row r="19">
          <cell r="F19">
            <v>34000</v>
          </cell>
        </row>
        <row r="27">
          <cell r="F27">
            <v>20000</v>
          </cell>
        </row>
        <row r="30">
          <cell r="F30">
            <v>18000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Gorong-Gorong  Plat Beton"/>
      <sheetName val="Talu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Gorong-Gorong  Plat Beton"/>
      <sheetName val="Talud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U"/>
      <sheetName val="RKPDESA 2024"/>
      <sheetName val="DU-RKPDESA 2024"/>
      <sheetName val="APBDES 2024"/>
      <sheetName val="Sheet2"/>
    </sheetNames>
    <sheetDataSet>
      <sheetData sheetId="0" refreshError="1">
        <row r="5">
          <cell r="C5">
            <v>685492000</v>
          </cell>
        </row>
        <row r="6">
          <cell r="C6">
            <v>1190959000</v>
          </cell>
        </row>
        <row r="7">
          <cell r="C7">
            <v>139900158</v>
          </cell>
        </row>
        <row r="8">
          <cell r="C8">
            <v>5000000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-1"/>
      <sheetName val="SAP-2"/>
      <sheetName val="VAP-1"/>
      <sheetName val="VAP-2"/>
      <sheetName val="MAP-1"/>
      <sheetName val="MAP-2"/>
      <sheetName val="DATA"/>
      <sheetName val="H.SATUAN"/>
      <sheetName val="B-JALAN"/>
      <sheetName val="RAB-JALAN+PAJAK"/>
      <sheetName val="RAB-JALAN+PAJAK EKSEKUSI (2)"/>
      <sheetName val="TOS TALUD-1"/>
      <sheetName val="RAB TALUD+PAJAK"/>
      <sheetName val="RAB-TALUD+PAJAK EKSEKUSI"/>
      <sheetName val="TOS GG PLAT"/>
      <sheetName val="ANALISA GG PLAT"/>
      <sheetName val="RAB GG PLAT+PAJAK"/>
      <sheetName val="RAB-GG PLAT+PAJAK EKSEK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D12" t="str">
            <v>: Malang</v>
          </cell>
        </row>
        <row r="13">
          <cell r="D13" t="str">
            <v>: Jawa Timur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HARGA SATUAN"/>
      <sheetName val="TOS GG PLAT"/>
      <sheetName val="ANALISA GG PLAT"/>
      <sheetName val="RAB GG PLAT+PAJAK"/>
    </sheetNames>
    <sheetDataSet>
      <sheetData sheetId="0">
        <row r="10">
          <cell r="D10" t="str">
            <v>: Pandanlandung</v>
          </cell>
        </row>
        <row r="11">
          <cell r="D11" t="str">
            <v>: Wagir</v>
          </cell>
        </row>
        <row r="26">
          <cell r="D26" t="str">
            <v>: P3MD Kemendesa</v>
          </cell>
        </row>
        <row r="35">
          <cell r="C35" t="str">
            <v xml:space="preserve">: Drainase Beton </v>
          </cell>
          <cell r="D35" t="str">
            <v>: 85 m x 1,2 m x 1,2 m</v>
          </cell>
        </row>
      </sheetData>
      <sheetData sheetId="1">
        <row r="8">
          <cell r="N8">
            <v>156900</v>
          </cell>
        </row>
        <row r="11">
          <cell r="B11" t="str">
            <v>Pasir Cor</v>
          </cell>
          <cell r="N11">
            <v>287500</v>
          </cell>
        </row>
        <row r="13">
          <cell r="N13">
            <v>261400</v>
          </cell>
        </row>
        <row r="14">
          <cell r="N14">
            <v>75400</v>
          </cell>
        </row>
        <row r="15">
          <cell r="N15">
            <v>75400</v>
          </cell>
        </row>
        <row r="16">
          <cell r="N16">
            <v>110100</v>
          </cell>
        </row>
        <row r="19">
          <cell r="N19">
            <v>29000</v>
          </cell>
        </row>
        <row r="20">
          <cell r="N20">
            <v>29000</v>
          </cell>
        </row>
        <row r="21">
          <cell r="N21">
            <v>115900</v>
          </cell>
        </row>
        <row r="22">
          <cell r="N22">
            <v>29000</v>
          </cell>
        </row>
        <row r="24">
          <cell r="B24" t="str">
            <v>Prasasti</v>
          </cell>
          <cell r="N24">
            <v>347700</v>
          </cell>
        </row>
        <row r="25">
          <cell r="N25">
            <v>3500</v>
          </cell>
        </row>
        <row r="27">
          <cell r="N27">
            <v>11600</v>
          </cell>
        </row>
        <row r="31">
          <cell r="N31">
            <v>75400</v>
          </cell>
        </row>
        <row r="32">
          <cell r="N32">
            <v>0</v>
          </cell>
        </row>
        <row r="36">
          <cell r="N36">
            <v>11600</v>
          </cell>
        </row>
        <row r="38">
          <cell r="N38">
            <v>753200</v>
          </cell>
        </row>
        <row r="39">
          <cell r="N39">
            <v>315200</v>
          </cell>
        </row>
        <row r="41">
          <cell r="E41">
            <v>100000</v>
          </cell>
        </row>
        <row r="42">
          <cell r="E42">
            <v>125000</v>
          </cell>
        </row>
      </sheetData>
      <sheetData sheetId="2"/>
      <sheetData sheetId="3">
        <row r="64">
          <cell r="B64" t="str">
            <v>Pasir Pasang</v>
          </cell>
          <cell r="D64">
            <v>5</v>
          </cell>
        </row>
        <row r="65">
          <cell r="D65">
            <v>16</v>
          </cell>
        </row>
        <row r="66">
          <cell r="D66">
            <v>23</v>
          </cell>
        </row>
        <row r="67">
          <cell r="D67">
            <v>275</v>
          </cell>
        </row>
        <row r="68">
          <cell r="D68">
            <v>123</v>
          </cell>
        </row>
        <row r="69">
          <cell r="D69">
            <v>65</v>
          </cell>
        </row>
        <row r="70">
          <cell r="D70">
            <v>24</v>
          </cell>
        </row>
        <row r="71">
          <cell r="D71">
            <v>12</v>
          </cell>
        </row>
        <row r="72">
          <cell r="D72">
            <v>6</v>
          </cell>
        </row>
        <row r="73">
          <cell r="D73">
            <v>106</v>
          </cell>
        </row>
        <row r="74">
          <cell r="D74">
            <v>152</v>
          </cell>
        </row>
        <row r="75">
          <cell r="D75">
            <v>56</v>
          </cell>
        </row>
      </sheetData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HAN UPAH"/>
      <sheetName val="Take-of-Sheet"/>
      <sheetName val="analisa SNI"/>
      <sheetName val="RAB-gedung+PAJAK"/>
      <sheetName val="Sheet1"/>
    </sheetNames>
    <sheetDataSet>
      <sheetData sheetId="0"/>
      <sheetData sheetId="1"/>
      <sheetData sheetId="2"/>
      <sheetData sheetId="3"/>
      <sheetData sheetId="4">
        <row r="73">
          <cell r="I73">
            <v>186876700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HAN UPAH"/>
      <sheetName val="Take-of-Sheet"/>
      <sheetName val="analisa SNI"/>
      <sheetName val="RAB-gedung+PAJAK"/>
      <sheetName val="Sheet1"/>
    </sheetNames>
    <sheetDataSet>
      <sheetData sheetId="0"/>
      <sheetData sheetId="1"/>
      <sheetData sheetId="2"/>
      <sheetData sheetId="3"/>
      <sheetData sheetId="4">
        <row r="66">
          <cell r="I66">
            <v>22445300</v>
          </cell>
        </row>
      </sheetData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-1"/>
      <sheetName val="SAP-2"/>
      <sheetName val="VAP-1"/>
      <sheetName val="VAP-2"/>
      <sheetName val="MAP-1"/>
      <sheetName val="MAP-2"/>
      <sheetName val="DATA"/>
      <sheetName val="H.SATUAN"/>
      <sheetName val="B-JALAN"/>
      <sheetName val="RAB-JALAN+PAJAK"/>
      <sheetName val="RAB-JALAN+PAJAK EKSEKUSI (2)"/>
      <sheetName val="TOS TALUD-1"/>
      <sheetName val="RAB TALUD+PAJAK"/>
      <sheetName val="RAB-TALUD+PAJAK EKSEKUSI"/>
      <sheetName val="TOS GG PLAT"/>
      <sheetName val="ANALISA GG PLAT"/>
      <sheetName val="RAB GG PLAT+PAJAK"/>
      <sheetName val="RAB-GG PLAT+PAJAK EKSEK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D12" t="str">
            <v>: Malang</v>
          </cell>
        </row>
        <row r="13">
          <cell r="D13" t="str">
            <v>: Jawa Timur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HARGA SATUAN"/>
      <sheetName val="ANALISA GG PLAT"/>
      <sheetName val="TOS"/>
      <sheetName val="RAB GG PLAT+PAJAK"/>
    </sheetNames>
    <sheetDataSet>
      <sheetData sheetId="0">
        <row r="10">
          <cell r="D10" t="str">
            <v>: Pandanlandung</v>
          </cell>
        </row>
        <row r="11">
          <cell r="D11" t="str">
            <v>: Wagir</v>
          </cell>
        </row>
        <row r="26">
          <cell r="D26" t="str">
            <v>: Pembangunan Desa</v>
          </cell>
        </row>
        <row r="35">
          <cell r="C35" t="str">
            <v>: Aspal Hotmix</v>
          </cell>
          <cell r="D35" t="str">
            <v>: 153 M x 3 M</v>
          </cell>
        </row>
      </sheetData>
      <sheetData sheetId="1">
        <row r="8">
          <cell r="N8">
            <v>290000</v>
          </cell>
        </row>
        <row r="10">
          <cell r="N10">
            <v>200000</v>
          </cell>
        </row>
        <row r="18">
          <cell r="N18">
            <v>400000</v>
          </cell>
        </row>
        <row r="27">
          <cell r="N27">
            <v>100000</v>
          </cell>
        </row>
        <row r="28">
          <cell r="N28">
            <v>150000</v>
          </cell>
        </row>
      </sheetData>
      <sheetData sheetId="2">
        <row r="33">
          <cell r="B33" t="str">
            <v>Aspahalt Emulsi</v>
          </cell>
        </row>
        <row r="48">
          <cell r="D48">
            <v>2</v>
          </cell>
        </row>
        <row r="50">
          <cell r="D50">
            <v>1</v>
          </cell>
        </row>
        <row r="51">
          <cell r="D51">
            <v>2</v>
          </cell>
        </row>
        <row r="52">
          <cell r="D52">
            <v>15</v>
          </cell>
        </row>
        <row r="53">
          <cell r="D53">
            <v>1</v>
          </cell>
        </row>
        <row r="54">
          <cell r="D54">
            <v>161</v>
          </cell>
        </row>
        <row r="56">
          <cell r="B56" t="str">
            <v>Hotmix HRS</v>
          </cell>
          <cell r="D56">
            <v>31</v>
          </cell>
        </row>
        <row r="63">
          <cell r="D63">
            <v>11</v>
          </cell>
        </row>
        <row r="64">
          <cell r="D64">
            <v>4</v>
          </cell>
        </row>
      </sheetData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DATA"/>
      <sheetName val="H.SATUAN"/>
      <sheetName val="TOS-DRAINASE"/>
      <sheetName val="RAB-DRAINASE+PAJAK"/>
      <sheetName val="Gambar -Title Box"/>
    </sheetNames>
    <sheetDataSet>
      <sheetData sheetId="0">
        <row r="2">
          <cell r="A2"/>
        </row>
      </sheetData>
      <sheetData sheetId="1">
        <row r="16">
          <cell r="L16">
            <v>156900</v>
          </cell>
        </row>
        <row r="20">
          <cell r="L20">
            <v>287200</v>
          </cell>
        </row>
        <row r="22">
          <cell r="L22">
            <v>60900</v>
          </cell>
        </row>
        <row r="36">
          <cell r="L36">
            <v>17000</v>
          </cell>
        </row>
        <row r="38">
          <cell r="L38"/>
        </row>
        <row r="42">
          <cell r="L42">
            <v>103400</v>
          </cell>
        </row>
        <row r="43">
          <cell r="L43">
            <v>69000</v>
          </cell>
        </row>
        <row r="44">
          <cell r="L44">
            <v>91900</v>
          </cell>
        </row>
        <row r="45">
          <cell r="L45">
            <v>69000</v>
          </cell>
        </row>
        <row r="46">
          <cell r="L46">
            <v>97700</v>
          </cell>
        </row>
        <row r="47">
          <cell r="L47">
            <v>46000</v>
          </cell>
        </row>
        <row r="49">
          <cell r="L49">
            <v>17300</v>
          </cell>
        </row>
        <row r="51">
          <cell r="L51">
            <v>402000</v>
          </cell>
        </row>
        <row r="52">
          <cell r="L52">
            <v>504000</v>
          </cell>
        </row>
        <row r="55">
          <cell r="L55">
            <v>224000</v>
          </cell>
        </row>
        <row r="56">
          <cell r="L56">
            <v>140000</v>
          </cell>
        </row>
        <row r="59">
          <cell r="L59">
            <v>125000</v>
          </cell>
        </row>
        <row r="60">
          <cell r="L60">
            <v>125000</v>
          </cell>
        </row>
      </sheetData>
      <sheetData sheetId="2">
        <row r="365">
          <cell r="Z365">
            <v>0</v>
          </cell>
          <cell r="AD365">
            <v>19</v>
          </cell>
        </row>
        <row r="366">
          <cell r="Z366">
            <v>0</v>
          </cell>
          <cell r="AD366">
            <v>122</v>
          </cell>
        </row>
        <row r="367">
          <cell r="Z367">
            <v>0</v>
          </cell>
          <cell r="AD367">
            <v>3</v>
          </cell>
        </row>
        <row r="369">
          <cell r="Z369">
            <v>0</v>
          </cell>
          <cell r="AD369">
            <v>42</v>
          </cell>
        </row>
        <row r="370">
          <cell r="Z370">
            <v>0</v>
          </cell>
          <cell r="AD370">
            <v>9</v>
          </cell>
        </row>
        <row r="371">
          <cell r="AD371">
            <v>5</v>
          </cell>
        </row>
      </sheetData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TAR HARGA"/>
      <sheetName val="INPUT"/>
      <sheetName val="TOS PAVING"/>
      <sheetName val="SAP,VAP,MAP"/>
      <sheetName val="gmbr pvng"/>
      <sheetName val="ANALISA"/>
    </sheetNames>
    <sheetDataSet>
      <sheetData sheetId="0">
        <row r="13">
          <cell r="N13">
            <v>293100</v>
          </cell>
        </row>
        <row r="15">
          <cell r="N15">
            <v>138600</v>
          </cell>
        </row>
        <row r="17">
          <cell r="N17">
            <v>295400</v>
          </cell>
        </row>
        <row r="18">
          <cell r="N18">
            <v>76800</v>
          </cell>
        </row>
        <row r="19">
          <cell r="N19">
            <v>900</v>
          </cell>
        </row>
        <row r="23">
          <cell r="N23">
            <v>124100</v>
          </cell>
        </row>
        <row r="29">
          <cell r="B29" t="str">
            <v>Griil Besi</v>
          </cell>
          <cell r="N29">
            <v>413500</v>
          </cell>
        </row>
        <row r="35">
          <cell r="N35">
            <v>173900</v>
          </cell>
        </row>
        <row r="36">
          <cell r="N36">
            <v>521500</v>
          </cell>
        </row>
        <row r="37">
          <cell r="N37">
            <v>3500</v>
          </cell>
        </row>
        <row r="38">
          <cell r="N38">
            <v>869100</v>
          </cell>
        </row>
        <row r="39">
          <cell r="N39">
            <v>4700</v>
          </cell>
        </row>
        <row r="40">
          <cell r="N40">
            <v>81200</v>
          </cell>
        </row>
        <row r="42">
          <cell r="N42">
            <v>87000</v>
          </cell>
        </row>
        <row r="43">
          <cell r="N43">
            <v>63800</v>
          </cell>
        </row>
        <row r="48">
          <cell r="N48">
            <v>11600</v>
          </cell>
        </row>
        <row r="49">
          <cell r="N49">
            <v>5700</v>
          </cell>
        </row>
        <row r="52">
          <cell r="E52">
            <v>100000</v>
          </cell>
        </row>
        <row r="53">
          <cell r="E53">
            <v>125000</v>
          </cell>
        </row>
        <row r="54">
          <cell r="N54">
            <v>200000</v>
          </cell>
        </row>
      </sheetData>
      <sheetData sheetId="1">
        <row r="6">
          <cell r="L6" t="str">
            <v>Jawa Timur</v>
          </cell>
        </row>
        <row r="7">
          <cell r="L7" t="str">
            <v>Malang</v>
          </cell>
        </row>
        <row r="8">
          <cell r="L8" t="str">
            <v>Wagir</v>
          </cell>
        </row>
        <row r="9">
          <cell r="L9" t="str">
            <v>Pandanlandung</v>
          </cell>
        </row>
        <row r="10">
          <cell r="L10" t="str">
            <v>RW. 004 (MASJID NURUL YAQIN)</v>
          </cell>
        </row>
      </sheetData>
      <sheetData sheetId="2">
        <row r="80">
          <cell r="H80">
            <v>120</v>
          </cell>
        </row>
      </sheetData>
      <sheetData sheetId="3"/>
      <sheetData sheetId="4"/>
      <sheetData sheetId="5">
        <row r="109">
          <cell r="D109">
            <v>4</v>
          </cell>
        </row>
        <row r="110">
          <cell r="B110" t="str">
            <v>Pasir Beton</v>
          </cell>
          <cell r="D110">
            <v>4</v>
          </cell>
        </row>
        <row r="111">
          <cell r="B111" t="str">
            <v>Batu Pecah 2-3/Koral Beton</v>
          </cell>
          <cell r="D111">
            <v>6</v>
          </cell>
        </row>
        <row r="112">
          <cell r="D112">
            <v>39</v>
          </cell>
        </row>
        <row r="113">
          <cell r="B113" t="str">
            <v xml:space="preserve">Bata merah </v>
          </cell>
          <cell r="D113">
            <v>755</v>
          </cell>
        </row>
        <row r="114">
          <cell r="B114" t="str">
            <v>Besi Buis Beton D 40</v>
          </cell>
          <cell r="D114">
            <v>120</v>
          </cell>
        </row>
        <row r="115">
          <cell r="D115">
            <v>11</v>
          </cell>
        </row>
        <row r="117">
          <cell r="D117">
            <v>90</v>
          </cell>
        </row>
        <row r="118">
          <cell r="D118">
            <v>15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FTAR HARGA"/>
      <sheetName val="INPUT"/>
      <sheetName val="TOS PAVING"/>
      <sheetName val="RAB PAVING + PAJAK"/>
      <sheetName val="SAP,VAP,MAP"/>
      <sheetName val="gmbr pvng"/>
      <sheetName val="ANALISA"/>
    </sheetNames>
    <sheetDataSet>
      <sheetData sheetId="0">
        <row r="13">
          <cell r="N13">
            <v>293100</v>
          </cell>
        </row>
        <row r="15">
          <cell r="N15">
            <v>138600</v>
          </cell>
        </row>
        <row r="17">
          <cell r="N17">
            <v>295400</v>
          </cell>
        </row>
        <row r="18">
          <cell r="N18">
            <v>76800</v>
          </cell>
        </row>
        <row r="19">
          <cell r="N19">
            <v>900</v>
          </cell>
        </row>
        <row r="23">
          <cell r="N23">
            <v>106400</v>
          </cell>
        </row>
        <row r="27">
          <cell r="N27">
            <v>67400</v>
          </cell>
        </row>
        <row r="29">
          <cell r="B29" t="str">
            <v>Griil Besi</v>
          </cell>
          <cell r="N29">
            <v>413500</v>
          </cell>
        </row>
        <row r="35">
          <cell r="N35">
            <v>173900</v>
          </cell>
        </row>
        <row r="36">
          <cell r="N36">
            <v>521500</v>
          </cell>
        </row>
        <row r="37">
          <cell r="N37">
            <v>3500</v>
          </cell>
        </row>
        <row r="38">
          <cell r="N38">
            <v>869100</v>
          </cell>
        </row>
        <row r="39">
          <cell r="N39">
            <v>4700</v>
          </cell>
        </row>
        <row r="48">
          <cell r="N48">
            <v>11600</v>
          </cell>
        </row>
        <row r="52">
          <cell r="E52">
            <v>100000</v>
          </cell>
        </row>
        <row r="53">
          <cell r="E53">
            <v>125000</v>
          </cell>
        </row>
        <row r="54">
          <cell r="N54">
            <v>200000</v>
          </cell>
        </row>
      </sheetData>
      <sheetData sheetId="1">
        <row r="6">
          <cell r="L6" t="str">
            <v>Jawa Timur</v>
          </cell>
        </row>
        <row r="7">
          <cell r="L7" t="str">
            <v>Malang</v>
          </cell>
        </row>
        <row r="8">
          <cell r="L8" t="str">
            <v>Wagir</v>
          </cell>
        </row>
        <row r="9">
          <cell r="L9" t="str">
            <v>Pandanlandung</v>
          </cell>
        </row>
      </sheetData>
      <sheetData sheetId="2">
        <row r="80">
          <cell r="H80">
            <v>110</v>
          </cell>
        </row>
      </sheetData>
      <sheetData sheetId="3"/>
      <sheetData sheetId="4"/>
      <sheetData sheetId="5"/>
      <sheetData sheetId="6">
        <row r="106">
          <cell r="D106">
            <v>27</v>
          </cell>
        </row>
        <row r="107">
          <cell r="B107" t="str">
            <v>Paving T = 6</v>
          </cell>
          <cell r="D107">
            <v>310</v>
          </cell>
        </row>
        <row r="108">
          <cell r="B108" t="str">
            <v>Pasir Beton</v>
          </cell>
          <cell r="D108">
            <v>1</v>
          </cell>
        </row>
        <row r="109">
          <cell r="B109" t="str">
            <v>Batu Pecah 2-3/Koral Beton</v>
          </cell>
          <cell r="D109">
            <v>2</v>
          </cell>
        </row>
        <row r="110">
          <cell r="D110">
            <v>17</v>
          </cell>
        </row>
        <row r="111">
          <cell r="B111" t="str">
            <v xml:space="preserve">Bata merah </v>
          </cell>
          <cell r="D111">
            <v>745</v>
          </cell>
        </row>
        <row r="113">
          <cell r="B113" t="str">
            <v>Besi Buis Beton D 30</v>
          </cell>
          <cell r="D113">
            <v>110</v>
          </cell>
        </row>
        <row r="116">
          <cell r="D116">
            <v>5</v>
          </cell>
        </row>
        <row r="118">
          <cell r="D118">
            <v>87</v>
          </cell>
        </row>
        <row r="119">
          <cell r="D119">
            <v>39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HARGA SATUAN"/>
      <sheetName val="TOS GG PLAT"/>
      <sheetName val="ANALISA GG PLAT"/>
      <sheetName val="RAB GG PLAT+PAJAK"/>
    </sheetNames>
    <sheetDataSet>
      <sheetData sheetId="0">
        <row r="10">
          <cell r="D10" t="str">
            <v>: Pandanlandung</v>
          </cell>
        </row>
        <row r="11">
          <cell r="D11" t="str">
            <v>: Wagir</v>
          </cell>
        </row>
        <row r="26">
          <cell r="D26" t="str">
            <v>: P3MD Kemendesa</v>
          </cell>
        </row>
        <row r="35">
          <cell r="C35" t="str">
            <v xml:space="preserve">: Drainase Beton </v>
          </cell>
          <cell r="D35" t="str">
            <v>: 216m x 0.4m x 0,35m</v>
          </cell>
        </row>
      </sheetData>
      <sheetData sheetId="1">
        <row r="8">
          <cell r="N8">
            <v>156900</v>
          </cell>
        </row>
        <row r="11">
          <cell r="B11" t="str">
            <v>Pasir Cor</v>
          </cell>
          <cell r="N11">
            <v>287500</v>
          </cell>
        </row>
        <row r="13">
          <cell r="N13">
            <v>261400</v>
          </cell>
        </row>
        <row r="14">
          <cell r="N14">
            <v>75400</v>
          </cell>
        </row>
        <row r="15">
          <cell r="N15">
            <v>75400</v>
          </cell>
        </row>
        <row r="16">
          <cell r="N16">
            <v>110100</v>
          </cell>
        </row>
        <row r="19">
          <cell r="N19">
            <v>29000</v>
          </cell>
        </row>
        <row r="20">
          <cell r="N20">
            <v>29000</v>
          </cell>
        </row>
        <row r="21">
          <cell r="N21">
            <v>115900</v>
          </cell>
        </row>
        <row r="22">
          <cell r="N22">
            <v>29000</v>
          </cell>
        </row>
        <row r="24">
          <cell r="B24" t="str">
            <v>Prasasti</v>
          </cell>
          <cell r="N24">
            <v>347700</v>
          </cell>
        </row>
        <row r="25">
          <cell r="N25">
            <v>3500</v>
          </cell>
        </row>
        <row r="27">
          <cell r="N27">
            <v>11600</v>
          </cell>
        </row>
        <row r="31">
          <cell r="N31">
            <v>75400</v>
          </cell>
        </row>
        <row r="32">
          <cell r="N32">
            <v>0</v>
          </cell>
        </row>
        <row r="36">
          <cell r="N36">
            <v>11600</v>
          </cell>
        </row>
        <row r="38">
          <cell r="N38">
            <v>753200</v>
          </cell>
        </row>
        <row r="39">
          <cell r="N39">
            <v>315200</v>
          </cell>
        </row>
        <row r="41">
          <cell r="E41">
            <v>100000</v>
          </cell>
        </row>
        <row r="42">
          <cell r="E42">
            <v>125000</v>
          </cell>
        </row>
      </sheetData>
      <sheetData sheetId="2"/>
      <sheetData sheetId="3">
        <row r="64">
          <cell r="B64" t="str">
            <v>Pasir Pasang</v>
          </cell>
          <cell r="D64">
            <v>2</v>
          </cell>
        </row>
        <row r="65">
          <cell r="D65">
            <v>7</v>
          </cell>
        </row>
        <row r="66">
          <cell r="D66">
            <v>10</v>
          </cell>
        </row>
        <row r="67">
          <cell r="D67">
            <v>118</v>
          </cell>
        </row>
        <row r="68">
          <cell r="D68">
            <v>54</v>
          </cell>
        </row>
        <row r="69">
          <cell r="D69">
            <v>98</v>
          </cell>
        </row>
        <row r="70">
          <cell r="D70">
            <v>12</v>
          </cell>
        </row>
        <row r="71">
          <cell r="D71">
            <v>8</v>
          </cell>
        </row>
        <row r="72">
          <cell r="D72">
            <v>3</v>
          </cell>
        </row>
        <row r="73">
          <cell r="D73">
            <v>53</v>
          </cell>
        </row>
        <row r="74">
          <cell r="D74">
            <v>60</v>
          </cell>
        </row>
        <row r="75">
          <cell r="D75">
            <v>28</v>
          </cell>
        </row>
      </sheetData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HAN UPAH"/>
      <sheetName val="Take-of-Sheet"/>
      <sheetName val="analisa SNI"/>
      <sheetName val="RAB-gedung+PAJAK"/>
      <sheetName val="Sheet1"/>
    </sheetNames>
    <sheetDataSet>
      <sheetData sheetId="0"/>
      <sheetData sheetId="1"/>
      <sheetData sheetId="2"/>
      <sheetData sheetId="3"/>
      <sheetData sheetId="4">
        <row r="73">
          <cell r="I73">
            <v>186876700</v>
          </cell>
        </row>
      </sheetData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HAN UPAH"/>
      <sheetName val="Take-of-Sheet"/>
      <sheetName val="analisa SNI"/>
      <sheetName val="RAB-gedung+PAJAK"/>
      <sheetName val="Sheet1"/>
    </sheetNames>
    <sheetDataSet>
      <sheetData sheetId="0"/>
      <sheetData sheetId="1"/>
      <sheetData sheetId="2"/>
      <sheetData sheetId="3"/>
      <sheetData sheetId="4">
        <row r="66">
          <cell r="I66">
            <v>22445300</v>
          </cell>
        </row>
      </sheetData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INPUT"/>
      <sheetName val="TOS PAVING"/>
      <sheetName val="RT 33 RW 07"/>
      <sheetName val="SAP,VAP,MAP"/>
      <sheetName val="gmbr pvng"/>
      <sheetName val="ANALISA"/>
    </sheetNames>
    <sheetDataSet>
      <sheetData sheetId="0">
        <row r="13">
          <cell r="N13">
            <v>313700</v>
          </cell>
        </row>
        <row r="48">
          <cell r="E48">
            <v>100000</v>
          </cell>
        </row>
      </sheetData>
      <sheetData sheetId="1">
        <row r="6">
          <cell r="L6" t="str">
            <v>Jawa Timur</v>
          </cell>
        </row>
        <row r="7">
          <cell r="L7" t="str">
            <v>Malang</v>
          </cell>
        </row>
        <row r="8">
          <cell r="L8" t="str">
            <v>Wagir</v>
          </cell>
        </row>
        <row r="9">
          <cell r="L9" t="str">
            <v>Pandanlandung</v>
          </cell>
        </row>
      </sheetData>
      <sheetData sheetId="2">
        <row r="8">
          <cell r="T8">
            <v>250</v>
          </cell>
        </row>
      </sheetData>
      <sheetData sheetId="3"/>
      <sheetData sheetId="4"/>
      <sheetData sheetId="5"/>
      <sheetData sheetId="6">
        <row r="49">
          <cell r="D49">
            <v>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AB62"/>
  <sheetViews>
    <sheetView tabSelected="1" topLeftCell="A43" zoomScale="80" zoomScaleNormal="80" workbookViewId="0">
      <selection activeCell="B50" sqref="B50:P50"/>
    </sheetView>
  </sheetViews>
  <sheetFormatPr defaultColWidth="9.33203125" defaultRowHeight="13.2" x14ac:dyDescent="0.25"/>
  <cols>
    <col min="1" max="1" width="5.77734375" style="1" customWidth="1"/>
    <col min="2" max="2" width="9.33203125" style="2" customWidth="1"/>
    <col min="3" max="3" width="1.109375" style="2" customWidth="1"/>
    <col min="4" max="4" width="9" style="2" customWidth="1"/>
    <col min="5" max="5" width="2" style="2" customWidth="1"/>
    <col min="6" max="6" width="5" style="3" customWidth="1"/>
    <col min="7" max="7" width="22" style="4" customWidth="1"/>
    <col min="8" max="8" width="38.44140625" style="3" customWidth="1"/>
    <col min="9" max="9" width="6.77734375" style="3" customWidth="1"/>
    <col min="10" max="10" width="16.6640625" style="3" customWidth="1"/>
    <col min="11" max="11" width="9.33203125" style="3" customWidth="1"/>
    <col min="12" max="12" width="13" style="3" customWidth="1"/>
    <col min="13" max="13" width="14.44140625" style="3" customWidth="1"/>
    <col min="14" max="14" width="11.44140625" style="3" customWidth="1"/>
    <col min="15" max="15" width="12.44140625" style="3" customWidth="1"/>
    <col min="16" max="16" width="13.6640625" style="3" customWidth="1"/>
    <col min="17" max="17" width="23.77734375" style="829" customWidth="1"/>
    <col min="18" max="18" width="15" style="3" customWidth="1"/>
    <col min="19" max="19" width="19" style="3" customWidth="1"/>
    <col min="20" max="21" width="1.109375" style="2" customWidth="1"/>
    <col min="22" max="22" width="5.77734375" style="2" customWidth="1"/>
    <col min="23" max="23" width="7.6640625" style="2" customWidth="1"/>
    <col min="24" max="24" width="29" style="2" bestFit="1" customWidth="1"/>
    <col min="25" max="25" width="29.109375" style="2" customWidth="1"/>
    <col min="26" max="26" width="28.44140625" style="6" customWidth="1"/>
    <col min="27" max="27" width="23.44140625" style="2" customWidth="1"/>
    <col min="28" max="28" width="22.6640625" style="2" customWidth="1"/>
    <col min="29" max="16384" width="9.33203125" style="2"/>
  </cols>
  <sheetData>
    <row r="1" spans="1:28" ht="18" customHeight="1" x14ac:dyDescent="0.25">
      <c r="A1" s="1282" t="s">
        <v>443</v>
      </c>
      <c r="B1" s="1282"/>
      <c r="C1" s="1282"/>
      <c r="D1" s="1282"/>
      <c r="E1" s="1282"/>
      <c r="F1" s="1282"/>
      <c r="G1" s="1282"/>
      <c r="H1" s="1282"/>
      <c r="I1" s="1282"/>
      <c r="J1" s="1282"/>
      <c r="K1" s="1282"/>
      <c r="L1" s="1282"/>
      <c r="M1" s="1282"/>
      <c r="N1" s="1282"/>
      <c r="O1" s="1282"/>
      <c r="P1" s="1282"/>
      <c r="Q1" s="1282"/>
      <c r="R1" s="1282"/>
      <c r="S1" s="1282"/>
      <c r="X1" s="7" t="s">
        <v>42</v>
      </c>
      <c r="Y1" s="7" t="s">
        <v>75</v>
      </c>
      <c r="Z1" s="7" t="s">
        <v>86</v>
      </c>
      <c r="AA1" s="7" t="s">
        <v>110</v>
      </c>
      <c r="AB1" s="7" t="s">
        <v>115</v>
      </c>
    </row>
    <row r="2" spans="1:28" ht="18" customHeight="1" x14ac:dyDescent="0.25">
      <c r="A2" s="1282" t="s">
        <v>872</v>
      </c>
      <c r="B2" s="1282"/>
      <c r="C2" s="1282"/>
      <c r="D2" s="1282"/>
      <c r="E2" s="1282"/>
      <c r="F2" s="1282"/>
      <c r="G2" s="1282"/>
      <c r="H2" s="1282"/>
      <c r="I2" s="1282"/>
      <c r="J2" s="1282"/>
      <c r="K2" s="1282"/>
      <c r="L2" s="1282"/>
      <c r="M2" s="1282"/>
      <c r="N2" s="1282"/>
      <c r="O2" s="1282"/>
      <c r="P2" s="1282"/>
      <c r="Q2" s="1282"/>
      <c r="R2" s="1282"/>
      <c r="S2" s="1282"/>
      <c r="X2" s="857">
        <f>Q9</f>
        <v>862664323</v>
      </c>
      <c r="Y2" s="857">
        <f>Q22</f>
        <v>1148231200</v>
      </c>
      <c r="Z2" s="858">
        <f>Q35</f>
        <v>102000000</v>
      </c>
      <c r="AA2" s="857">
        <f>Q47</f>
        <v>1000000</v>
      </c>
      <c r="AB2" s="857">
        <f>Q50</f>
        <v>128000000</v>
      </c>
    </row>
    <row r="3" spans="1:28" ht="18" customHeight="1" x14ac:dyDescent="0.25">
      <c r="A3" s="1282" t="s">
        <v>26</v>
      </c>
      <c r="B3" s="1284"/>
      <c r="C3" s="1284"/>
      <c r="D3" s="1284"/>
      <c r="E3" s="1284"/>
      <c r="F3" s="1284"/>
      <c r="G3" s="1284"/>
      <c r="H3" s="1284"/>
      <c r="I3" s="1284"/>
      <c r="J3" s="1284"/>
      <c r="K3" s="1284"/>
      <c r="L3" s="1284"/>
      <c r="M3" s="1284"/>
      <c r="N3" s="1284"/>
      <c r="O3" s="1284"/>
      <c r="P3" s="1284"/>
      <c r="Q3" s="1284"/>
      <c r="R3" s="1284"/>
      <c r="S3" s="1284"/>
    </row>
    <row r="4" spans="1:28" ht="18" customHeight="1" x14ac:dyDescent="0.25">
      <c r="A4" s="8"/>
    </row>
    <row r="5" spans="1:28" ht="18" customHeight="1" x14ac:dyDescent="0.25">
      <c r="A5" s="8"/>
    </row>
    <row r="6" spans="1:28" ht="24" customHeight="1" x14ac:dyDescent="0.25">
      <c r="A6" s="1318" t="s">
        <v>27</v>
      </c>
      <c r="B6" s="1291" t="s">
        <v>1</v>
      </c>
      <c r="C6" s="1292"/>
      <c r="D6" s="1292"/>
      <c r="E6" s="1293"/>
      <c r="F6" s="1323" t="s">
        <v>28</v>
      </c>
      <c r="G6" s="1324"/>
      <c r="H6" s="1325"/>
      <c r="I6" s="1271" t="s">
        <v>386</v>
      </c>
      <c r="J6" s="1272"/>
      <c r="K6" s="1271" t="s">
        <v>387</v>
      </c>
      <c r="L6" s="1272"/>
      <c r="M6" s="1307" t="s">
        <v>29</v>
      </c>
      <c r="N6" s="1265" t="s">
        <v>388</v>
      </c>
      <c r="O6" s="1265" t="s">
        <v>389</v>
      </c>
      <c r="P6" s="1265" t="s">
        <v>390</v>
      </c>
      <c r="Q6" s="1320" t="s">
        <v>391</v>
      </c>
      <c r="R6" s="1321"/>
      <c r="S6" s="1265" t="s">
        <v>392</v>
      </c>
    </row>
    <row r="7" spans="1:28" ht="66.75" customHeight="1" x14ac:dyDescent="0.25">
      <c r="A7" s="1319"/>
      <c r="B7" s="1294"/>
      <c r="C7" s="1295"/>
      <c r="D7" s="1295"/>
      <c r="E7" s="1296"/>
      <c r="F7" s="1326"/>
      <c r="G7" s="1327"/>
      <c r="H7" s="1328"/>
      <c r="I7" s="1273"/>
      <c r="J7" s="1274"/>
      <c r="K7" s="1273"/>
      <c r="L7" s="1274"/>
      <c r="M7" s="1308"/>
      <c r="N7" s="1266"/>
      <c r="O7" s="1266"/>
      <c r="P7" s="1266"/>
      <c r="Q7" s="830" t="s">
        <v>393</v>
      </c>
      <c r="R7" s="10" t="s">
        <v>394</v>
      </c>
      <c r="S7" s="1266"/>
    </row>
    <row r="8" spans="1:28" ht="12.9" customHeight="1" x14ac:dyDescent="0.25">
      <c r="A8" s="11" t="s">
        <v>395</v>
      </c>
      <c r="B8" s="1298" t="s">
        <v>396</v>
      </c>
      <c r="C8" s="1299"/>
      <c r="D8" s="1299"/>
      <c r="E8" s="1300"/>
      <c r="F8" s="1287" t="s">
        <v>30</v>
      </c>
      <c r="G8" s="1288"/>
      <c r="H8" s="1289"/>
      <c r="I8" s="1251" t="s">
        <v>31</v>
      </c>
      <c r="J8" s="1252"/>
      <c r="K8" s="1251" t="s">
        <v>32</v>
      </c>
      <c r="L8" s="1252"/>
      <c r="M8" s="12" t="s">
        <v>33</v>
      </c>
      <c r="N8" s="12" t="s">
        <v>34</v>
      </c>
      <c r="O8" s="12" t="s">
        <v>35</v>
      </c>
      <c r="P8" s="12" t="s">
        <v>36</v>
      </c>
      <c r="Q8" s="831" t="s">
        <v>37</v>
      </c>
      <c r="R8" s="12" t="s">
        <v>38</v>
      </c>
      <c r="S8" s="12" t="s">
        <v>39</v>
      </c>
      <c r="W8" s="1283" t="s">
        <v>40</v>
      </c>
      <c r="X8" s="1283"/>
      <c r="Y8" s="1255" t="s">
        <v>41</v>
      </c>
      <c r="Z8" s="1255" t="s">
        <v>889</v>
      </c>
    </row>
    <row r="9" spans="1:28" ht="24.75" customHeight="1" x14ac:dyDescent="0.25">
      <c r="A9" s="14">
        <v>1</v>
      </c>
      <c r="B9" s="1277" t="s">
        <v>364</v>
      </c>
      <c r="C9" s="1277"/>
      <c r="D9" s="1277"/>
      <c r="E9" s="1277"/>
      <c r="F9" s="1277"/>
      <c r="G9" s="1277"/>
      <c r="H9" s="1277"/>
      <c r="I9" s="1277"/>
      <c r="J9" s="1277"/>
      <c r="K9" s="1277"/>
      <c r="L9" s="1277"/>
      <c r="M9" s="1277"/>
      <c r="N9" s="1277"/>
      <c r="O9" s="1277"/>
      <c r="P9" s="1277"/>
      <c r="Q9" s="832">
        <f>SUM(Q10:Q21)</f>
        <v>862664323</v>
      </c>
      <c r="R9" s="1322"/>
      <c r="S9" s="1322"/>
      <c r="W9" s="1283"/>
      <c r="X9" s="1283"/>
      <c r="Y9" s="1255"/>
      <c r="Z9" s="1256"/>
    </row>
    <row r="10" spans="1:28" ht="45.75" customHeight="1" x14ac:dyDescent="0.25">
      <c r="A10" s="1262" t="s">
        <v>42</v>
      </c>
      <c r="B10" s="1263"/>
      <c r="C10" s="1263"/>
      <c r="D10" s="1263"/>
      <c r="E10" s="1264"/>
      <c r="F10" s="16">
        <v>1</v>
      </c>
      <c r="G10" s="1297" t="s">
        <v>397</v>
      </c>
      <c r="H10" s="1250"/>
      <c r="I10" s="1267" t="s">
        <v>398</v>
      </c>
      <c r="J10" s="1268"/>
      <c r="K10" s="1267" t="s">
        <v>399</v>
      </c>
      <c r="L10" s="1268"/>
      <c r="M10" s="17" t="s">
        <v>43</v>
      </c>
      <c r="N10" s="17" t="s">
        <v>44</v>
      </c>
      <c r="O10" s="17" t="s">
        <v>45</v>
      </c>
      <c r="P10" s="17" t="s">
        <v>46</v>
      </c>
      <c r="Q10" s="831">
        <v>11520000</v>
      </c>
      <c r="R10" s="17" t="s">
        <v>25</v>
      </c>
      <c r="S10" s="17" t="s">
        <v>47</v>
      </c>
      <c r="W10" s="851" t="s">
        <v>25</v>
      </c>
      <c r="X10" s="852">
        <f>Q10+Q11+Q13+Q14+Q15+Q46+Q36+Q37+Q38+Q39+Q41+102804000+Q42+Q43+Q45</f>
        <v>745232000</v>
      </c>
      <c r="Y10" s="859">
        <f>[7]PAGU!C5-'RKPDESA 2026'!X10</f>
        <v>-59740000</v>
      </c>
      <c r="Z10" s="854">
        <v>694432000</v>
      </c>
    </row>
    <row r="11" spans="1:28" ht="42" customHeight="1" x14ac:dyDescent="0.25">
      <c r="A11" s="1262"/>
      <c r="B11" s="1263"/>
      <c r="C11" s="1263"/>
      <c r="D11" s="1263"/>
      <c r="E11" s="1264"/>
      <c r="F11" s="21">
        <v>2</v>
      </c>
      <c r="G11" s="1243" t="s">
        <v>400</v>
      </c>
      <c r="H11" s="1244"/>
      <c r="I11" s="1257" t="s">
        <v>401</v>
      </c>
      <c r="J11" s="1246"/>
      <c r="K11" s="1245" t="s">
        <v>402</v>
      </c>
      <c r="L11" s="1246"/>
      <c r="M11" s="22" t="s">
        <v>43</v>
      </c>
      <c r="N11" s="22" t="s">
        <v>48</v>
      </c>
      <c r="O11" s="22" t="s">
        <v>49</v>
      </c>
      <c r="P11" s="22" t="s">
        <v>46</v>
      </c>
      <c r="Q11" s="831">
        <v>339168000</v>
      </c>
      <c r="R11" s="22" t="s">
        <v>25</v>
      </c>
      <c r="S11" s="22" t="s">
        <v>47</v>
      </c>
      <c r="W11" s="851" t="s">
        <v>50</v>
      </c>
      <c r="X11" s="855">
        <f>Q16+Q23+Q24+Q51+Q25+Q26+Q27+X16+Q34+Q33+Q32+Q31+Q30+Q29+Q28</f>
        <v>1358198400</v>
      </c>
      <c r="Y11" s="859">
        <f>[7]PAGU!C6-'RKPDESA 2026'!X11</f>
        <v>-167239400</v>
      </c>
      <c r="Z11" s="854">
        <v>1270999000</v>
      </c>
    </row>
    <row r="12" spans="1:28" ht="44.25" customHeight="1" x14ac:dyDescent="0.25">
      <c r="A12" s="1262"/>
      <c r="B12" s="1263"/>
      <c r="C12" s="1263"/>
      <c r="D12" s="1263"/>
      <c r="E12" s="1264"/>
      <c r="F12" s="21">
        <v>3</v>
      </c>
      <c r="G12" s="1243" t="s">
        <v>403</v>
      </c>
      <c r="H12" s="1244"/>
      <c r="I12" s="1245" t="s">
        <v>404</v>
      </c>
      <c r="J12" s="1246"/>
      <c r="K12" s="1245" t="s">
        <v>404</v>
      </c>
      <c r="L12" s="1246"/>
      <c r="M12" s="22" t="s">
        <v>43</v>
      </c>
      <c r="N12" s="22" t="s">
        <v>51</v>
      </c>
      <c r="O12" s="22" t="s">
        <v>52</v>
      </c>
      <c r="P12" s="22" t="s">
        <v>46</v>
      </c>
      <c r="Q12" s="831">
        <f>102804000+X16</f>
        <v>149042430</v>
      </c>
      <c r="R12" s="22" t="s">
        <v>53</v>
      </c>
      <c r="S12" s="22" t="s">
        <v>47</v>
      </c>
      <c r="W12" s="851" t="s">
        <v>54</v>
      </c>
      <c r="X12" s="855">
        <f>Q17+Q21+Q20+Q40+Q44</f>
        <v>132465123</v>
      </c>
      <c r="Y12" s="859">
        <f>[7]PAGU!C7-'RKPDESA 2026'!X12</f>
        <v>7435035</v>
      </c>
      <c r="Z12" s="854">
        <v>139513087</v>
      </c>
    </row>
    <row r="13" spans="1:28" ht="45.75" customHeight="1" x14ac:dyDescent="0.25">
      <c r="A13" s="1262"/>
      <c r="B13" s="1263"/>
      <c r="C13" s="1263"/>
      <c r="D13" s="1263"/>
      <c r="E13" s="1264"/>
      <c r="F13" s="21">
        <v>4</v>
      </c>
      <c r="G13" s="1259" t="s">
        <v>55</v>
      </c>
      <c r="H13" s="1260"/>
      <c r="I13" s="1245" t="s">
        <v>405</v>
      </c>
      <c r="J13" s="1246"/>
      <c r="K13" s="1245" t="s">
        <v>405</v>
      </c>
      <c r="L13" s="1246"/>
      <c r="M13" s="22" t="s">
        <v>43</v>
      </c>
      <c r="N13" s="22" t="s">
        <v>56</v>
      </c>
      <c r="O13" s="22" t="s">
        <v>57</v>
      </c>
      <c r="P13" s="22" t="s">
        <v>46</v>
      </c>
      <c r="Q13" s="831">
        <v>58800000</v>
      </c>
      <c r="R13" s="22" t="s">
        <v>25</v>
      </c>
      <c r="S13" s="22" t="s">
        <v>47</v>
      </c>
      <c r="W13" s="851" t="s">
        <v>58</v>
      </c>
      <c r="X13" s="855">
        <f>Q18+Q19</f>
        <v>5000000</v>
      </c>
      <c r="Y13" s="853">
        <f>[7]PAGU!C8-'RKPDESA 2026'!X13</f>
        <v>0</v>
      </c>
      <c r="Z13" s="856"/>
    </row>
    <row r="14" spans="1:28" ht="44.25" customHeight="1" x14ac:dyDescent="0.25">
      <c r="A14" s="1262"/>
      <c r="B14" s="1263"/>
      <c r="C14" s="1263"/>
      <c r="D14" s="1263"/>
      <c r="E14" s="1264"/>
      <c r="F14" s="21">
        <v>5</v>
      </c>
      <c r="G14" s="1243" t="s">
        <v>406</v>
      </c>
      <c r="H14" s="1244"/>
      <c r="I14" s="1245" t="s">
        <v>407</v>
      </c>
      <c r="J14" s="1246"/>
      <c r="K14" s="1245" t="s">
        <v>407</v>
      </c>
      <c r="L14" s="1246"/>
      <c r="M14" s="22" t="s">
        <v>43</v>
      </c>
      <c r="N14" s="22" t="s">
        <v>51</v>
      </c>
      <c r="O14" s="22" t="s">
        <v>57</v>
      </c>
      <c r="P14" s="22" t="s">
        <v>46</v>
      </c>
      <c r="Q14" s="831">
        <v>4000000</v>
      </c>
      <c r="R14" s="22" t="s">
        <v>25</v>
      </c>
      <c r="S14" s="22" t="s">
        <v>47</v>
      </c>
    </row>
    <row r="15" spans="1:28" ht="58.5" customHeight="1" x14ac:dyDescent="0.25">
      <c r="A15" s="1262"/>
      <c r="B15" s="1263"/>
      <c r="C15" s="1263"/>
      <c r="D15" s="1263"/>
      <c r="E15" s="1264"/>
      <c r="F15" s="21">
        <v>6</v>
      </c>
      <c r="G15" s="1259" t="s">
        <v>873</v>
      </c>
      <c r="H15" s="1244"/>
      <c r="I15" s="1257" t="s">
        <v>450</v>
      </c>
      <c r="J15" s="1246"/>
      <c r="K15" s="1257" t="s">
        <v>451</v>
      </c>
      <c r="L15" s="1246"/>
      <c r="M15" s="22" t="s">
        <v>43</v>
      </c>
      <c r="N15" s="22" t="s">
        <v>448</v>
      </c>
      <c r="O15" s="22" t="s">
        <v>449</v>
      </c>
      <c r="P15" s="22" t="s">
        <v>46</v>
      </c>
      <c r="Q15" s="831">
        <v>143940000</v>
      </c>
      <c r="R15" s="22" t="s">
        <v>25</v>
      </c>
      <c r="S15" s="22" t="s">
        <v>47</v>
      </c>
      <c r="X15" s="837">
        <f>Q12+60000000</f>
        <v>209042430</v>
      </c>
      <c r="Y15" s="23" t="s">
        <v>59</v>
      </c>
    </row>
    <row r="16" spans="1:28" ht="46.5" customHeight="1" x14ac:dyDescent="0.25">
      <c r="A16" s="1262"/>
      <c r="B16" s="1263"/>
      <c r="C16" s="1263"/>
      <c r="D16" s="1263"/>
      <c r="E16" s="1264"/>
      <c r="F16" s="21">
        <v>7</v>
      </c>
      <c r="G16" s="1243" t="s">
        <v>408</v>
      </c>
      <c r="H16" s="1244"/>
      <c r="I16" s="1245" t="s">
        <v>409</v>
      </c>
      <c r="J16" s="1246"/>
      <c r="K16" s="1245" t="s">
        <v>409</v>
      </c>
      <c r="L16" s="1246"/>
      <c r="M16" s="22" t="s">
        <v>43</v>
      </c>
      <c r="N16" s="22" t="s">
        <v>51</v>
      </c>
      <c r="O16" s="22" t="s">
        <v>60</v>
      </c>
      <c r="P16" s="22" t="s">
        <v>46</v>
      </c>
      <c r="Q16" s="831">
        <v>35728770</v>
      </c>
      <c r="R16" s="22" t="s">
        <v>50</v>
      </c>
      <c r="S16" s="22" t="s">
        <v>47</v>
      </c>
      <c r="X16" s="838">
        <v>46238430</v>
      </c>
      <c r="Y16" s="23" t="s">
        <v>50</v>
      </c>
    </row>
    <row r="17" spans="1:26" ht="45" customHeight="1" x14ac:dyDescent="0.25">
      <c r="A17" s="1262"/>
      <c r="B17" s="1263"/>
      <c r="C17" s="1263"/>
      <c r="D17" s="1263"/>
      <c r="E17" s="1264"/>
      <c r="F17" s="21">
        <v>8</v>
      </c>
      <c r="G17" s="1259" t="s">
        <v>61</v>
      </c>
      <c r="H17" s="1260"/>
      <c r="I17" s="1245" t="s">
        <v>410</v>
      </c>
      <c r="J17" s="1246"/>
      <c r="K17" s="1245" t="s">
        <v>404</v>
      </c>
      <c r="L17" s="1246"/>
      <c r="M17" s="22" t="s">
        <v>43</v>
      </c>
      <c r="N17" s="22" t="s">
        <v>51</v>
      </c>
      <c r="O17" s="22" t="s">
        <v>51</v>
      </c>
      <c r="P17" s="22" t="s">
        <v>46</v>
      </c>
      <c r="Q17" s="831">
        <v>90465123</v>
      </c>
      <c r="R17" s="22" t="s">
        <v>54</v>
      </c>
      <c r="S17" s="22" t="s">
        <v>47</v>
      </c>
      <c r="X17" s="839"/>
      <c r="Y17" s="840"/>
    </row>
    <row r="18" spans="1:26" ht="43.5" customHeight="1" x14ac:dyDescent="0.25">
      <c r="A18" s="1262"/>
      <c r="B18" s="1263"/>
      <c r="C18" s="1263"/>
      <c r="D18" s="1263"/>
      <c r="E18" s="1264"/>
      <c r="F18" s="21">
        <v>10</v>
      </c>
      <c r="G18" s="1259" t="s">
        <v>62</v>
      </c>
      <c r="H18" s="1244"/>
      <c r="I18" s="1245" t="s">
        <v>63</v>
      </c>
      <c r="J18" s="1246"/>
      <c r="K18" s="1245" t="s">
        <v>63</v>
      </c>
      <c r="L18" s="1246"/>
      <c r="M18" s="22" t="s">
        <v>43</v>
      </c>
      <c r="N18" s="22" t="s">
        <v>64</v>
      </c>
      <c r="O18" s="22" t="s">
        <v>52</v>
      </c>
      <c r="P18" s="22" t="s">
        <v>65</v>
      </c>
      <c r="Q18" s="831">
        <v>2500000</v>
      </c>
      <c r="R18" s="22" t="s">
        <v>58</v>
      </c>
      <c r="S18" s="22" t="s">
        <v>47</v>
      </c>
    </row>
    <row r="19" spans="1:26" ht="36" customHeight="1" x14ac:dyDescent="0.25">
      <c r="A19" s="1262"/>
      <c r="B19" s="1263"/>
      <c r="C19" s="1263"/>
      <c r="D19" s="1263"/>
      <c r="E19" s="1264"/>
      <c r="F19" s="21">
        <v>11</v>
      </c>
      <c r="G19" s="1259" t="s">
        <v>66</v>
      </c>
      <c r="H19" s="1244"/>
      <c r="I19" s="1257" t="s">
        <v>67</v>
      </c>
      <c r="J19" s="1246"/>
      <c r="K19" s="1257" t="s">
        <v>67</v>
      </c>
      <c r="L19" s="1246"/>
      <c r="M19" s="24" t="s">
        <v>411</v>
      </c>
      <c r="N19" s="22" t="s">
        <v>51</v>
      </c>
      <c r="O19" s="22" t="s">
        <v>52</v>
      </c>
      <c r="P19" s="22" t="s">
        <v>65</v>
      </c>
      <c r="Q19" s="831">
        <v>2500000</v>
      </c>
      <c r="R19" s="22" t="s">
        <v>58</v>
      </c>
      <c r="S19" s="22" t="s">
        <v>47</v>
      </c>
    </row>
    <row r="20" spans="1:26" ht="48" customHeight="1" x14ac:dyDescent="0.25">
      <c r="A20" s="1262"/>
      <c r="B20" s="1263"/>
      <c r="C20" s="1263"/>
      <c r="D20" s="1263"/>
      <c r="E20" s="1264"/>
      <c r="F20" s="21">
        <v>12</v>
      </c>
      <c r="G20" s="1259" t="s">
        <v>68</v>
      </c>
      <c r="H20" s="1244"/>
      <c r="I20" s="1257" t="s">
        <v>69</v>
      </c>
      <c r="J20" s="1246"/>
      <c r="K20" s="1257" t="s">
        <v>70</v>
      </c>
      <c r="L20" s="1246"/>
      <c r="M20" s="24" t="s">
        <v>411</v>
      </c>
      <c r="N20" s="22" t="s">
        <v>64</v>
      </c>
      <c r="O20" s="22" t="s">
        <v>52</v>
      </c>
      <c r="P20" s="22" t="s">
        <v>46</v>
      </c>
      <c r="Q20" s="831">
        <v>6500000</v>
      </c>
      <c r="R20" s="22" t="s">
        <v>54</v>
      </c>
      <c r="S20" s="22" t="s">
        <v>47</v>
      </c>
    </row>
    <row r="21" spans="1:26" s="25" customFormat="1" ht="33" customHeight="1" x14ac:dyDescent="0.25">
      <c r="A21" s="1262"/>
      <c r="B21" s="1263"/>
      <c r="C21" s="1263"/>
      <c r="D21" s="1263"/>
      <c r="E21" s="1264"/>
      <c r="F21" s="26">
        <v>13</v>
      </c>
      <c r="G21" s="1285" t="s">
        <v>71</v>
      </c>
      <c r="H21" s="1306"/>
      <c r="I21" s="1275" t="s">
        <v>72</v>
      </c>
      <c r="J21" s="1276"/>
      <c r="K21" s="1275" t="s">
        <v>73</v>
      </c>
      <c r="L21" s="1276"/>
      <c r="M21" s="27" t="s">
        <v>43</v>
      </c>
      <c r="N21" s="27" t="s">
        <v>51</v>
      </c>
      <c r="O21" s="27" t="s">
        <v>52</v>
      </c>
      <c r="P21" s="27" t="s">
        <v>46</v>
      </c>
      <c r="Q21" s="833">
        <v>18500000</v>
      </c>
      <c r="R21" s="27" t="s">
        <v>54</v>
      </c>
      <c r="S21" s="27" t="s">
        <v>47</v>
      </c>
      <c r="Z21" s="841"/>
    </row>
    <row r="22" spans="1:26" s="23" customFormat="1" ht="24.75" customHeight="1" x14ac:dyDescent="0.25">
      <c r="A22" s="14">
        <v>2</v>
      </c>
      <c r="B22" s="1277" t="s">
        <v>74</v>
      </c>
      <c r="C22" s="1277"/>
      <c r="D22" s="1277"/>
      <c r="E22" s="1277"/>
      <c r="F22" s="1277"/>
      <c r="G22" s="1277"/>
      <c r="H22" s="1277"/>
      <c r="I22" s="1277"/>
      <c r="J22" s="1277"/>
      <c r="K22" s="1277"/>
      <c r="L22" s="1277"/>
      <c r="M22" s="1277"/>
      <c r="N22" s="1277"/>
      <c r="O22" s="1277"/>
      <c r="P22" s="1277"/>
      <c r="Q22" s="832">
        <f>SUM(Q23:Q34)</f>
        <v>1148231200</v>
      </c>
      <c r="R22" s="1290"/>
      <c r="S22" s="1290"/>
      <c r="Z22" s="6"/>
    </row>
    <row r="23" spans="1:26" ht="56.25" customHeight="1" x14ac:dyDescent="0.25">
      <c r="A23" s="1262" t="s">
        <v>75</v>
      </c>
      <c r="B23" s="1263"/>
      <c r="C23" s="1263"/>
      <c r="D23" s="1263"/>
      <c r="E23" s="1264"/>
      <c r="F23" s="16">
        <v>1</v>
      </c>
      <c r="G23" s="1249" t="s">
        <v>76</v>
      </c>
      <c r="H23" s="1250"/>
      <c r="I23" s="1267" t="s">
        <v>77</v>
      </c>
      <c r="J23" s="1268"/>
      <c r="K23" s="1267" t="s">
        <v>77</v>
      </c>
      <c r="L23" s="1268"/>
      <c r="M23" s="17" t="s">
        <v>43</v>
      </c>
      <c r="N23" s="17" t="s">
        <v>445</v>
      </c>
      <c r="O23" s="17" t="s">
        <v>60</v>
      </c>
      <c r="P23" s="17" t="s">
        <v>65</v>
      </c>
      <c r="Q23" s="831">
        <v>24000000</v>
      </c>
      <c r="R23" s="24" t="s">
        <v>50</v>
      </c>
      <c r="S23" s="17" t="s">
        <v>47</v>
      </c>
    </row>
    <row r="24" spans="1:26" ht="56.25" customHeight="1" thickBot="1" x14ac:dyDescent="0.3">
      <c r="A24" s="1262"/>
      <c r="B24" s="1263"/>
      <c r="C24" s="1263"/>
      <c r="D24" s="1263"/>
      <c r="E24" s="1264"/>
      <c r="F24" s="21">
        <v>2</v>
      </c>
      <c r="G24" s="1285" t="s">
        <v>78</v>
      </c>
      <c r="H24" s="1286"/>
      <c r="I24" s="1257" t="s">
        <v>79</v>
      </c>
      <c r="J24" s="1246"/>
      <c r="K24" s="1257" t="s">
        <v>80</v>
      </c>
      <c r="L24" s="1246"/>
      <c r="M24" s="22" t="s">
        <v>43</v>
      </c>
      <c r="N24" s="22" t="s">
        <v>81</v>
      </c>
      <c r="O24" s="22" t="s">
        <v>81</v>
      </c>
      <c r="P24" s="22" t="s">
        <v>46</v>
      </c>
      <c r="Q24" s="842">
        <f>POSYANDU!J51</f>
        <v>67284000</v>
      </c>
      <c r="R24" s="24" t="s">
        <v>50</v>
      </c>
      <c r="S24" s="22" t="s">
        <v>47</v>
      </c>
    </row>
    <row r="25" spans="1:26" ht="27" customHeight="1" x14ac:dyDescent="0.25">
      <c r="A25" s="1262"/>
      <c r="B25" s="1263"/>
      <c r="C25" s="1263"/>
      <c r="D25" s="1263"/>
      <c r="E25" s="1264"/>
      <c r="F25" s="14">
        <v>3</v>
      </c>
      <c r="G25" s="843" t="s">
        <v>797</v>
      </c>
      <c r="H25" s="843"/>
      <c r="I25" s="1261"/>
      <c r="J25" s="1258"/>
      <c r="K25" s="1257"/>
      <c r="L25" s="1258"/>
      <c r="M25" s="22" t="s">
        <v>861</v>
      </c>
      <c r="N25" s="22" t="s">
        <v>51</v>
      </c>
      <c r="O25" s="22" t="s">
        <v>51</v>
      </c>
      <c r="P25" s="409" t="s">
        <v>46</v>
      </c>
      <c r="Q25" s="844">
        <f>'APBDES 2025'!E41</f>
        <v>84804800</v>
      </c>
      <c r="R25" s="408" t="s">
        <v>50</v>
      </c>
      <c r="S25" s="22" t="s">
        <v>47</v>
      </c>
      <c r="X25" s="865" t="s">
        <v>893</v>
      </c>
      <c r="Y25" s="860" t="s">
        <v>890</v>
      </c>
    </row>
    <row r="26" spans="1:26" ht="23.25" customHeight="1" x14ac:dyDescent="0.25">
      <c r="A26" s="1262"/>
      <c r="B26" s="1263"/>
      <c r="C26" s="1263"/>
      <c r="D26" s="1263"/>
      <c r="E26" s="1264"/>
      <c r="F26" s="14">
        <v>4</v>
      </c>
      <c r="G26" s="843" t="s">
        <v>798</v>
      </c>
      <c r="H26" s="843"/>
      <c r="I26" s="1261"/>
      <c r="J26" s="1258"/>
      <c r="K26" s="1257"/>
      <c r="L26" s="1246"/>
      <c r="M26" s="22" t="s">
        <v>141</v>
      </c>
      <c r="N26" s="24" t="s">
        <v>51</v>
      </c>
      <c r="O26" s="24" t="s">
        <v>51</v>
      </c>
      <c r="P26" s="407" t="s">
        <v>83</v>
      </c>
      <c r="Q26" s="844">
        <f>'APBDES 2025'!E42</f>
        <v>56239000</v>
      </c>
      <c r="R26" s="408" t="s">
        <v>50</v>
      </c>
      <c r="S26" s="24" t="s">
        <v>47</v>
      </c>
      <c r="X26" s="861"/>
      <c r="Y26" s="862" t="s">
        <v>891</v>
      </c>
    </row>
    <row r="27" spans="1:26" ht="46.5" customHeight="1" thickBot="1" x14ac:dyDescent="0.3">
      <c r="A27" s="1262"/>
      <c r="B27" s="1263"/>
      <c r="C27" s="1263"/>
      <c r="D27" s="1263"/>
      <c r="E27" s="1264"/>
      <c r="F27" s="14">
        <v>5</v>
      </c>
      <c r="G27" s="843" t="s">
        <v>780</v>
      </c>
      <c r="H27" s="843"/>
      <c r="I27" s="1261"/>
      <c r="J27" s="1258"/>
      <c r="K27" s="1257"/>
      <c r="L27" s="1246"/>
      <c r="M27" s="22" t="s">
        <v>862</v>
      </c>
      <c r="N27" s="24" t="s">
        <v>51</v>
      </c>
      <c r="O27" s="24" t="s">
        <v>51</v>
      </c>
      <c r="P27" s="407" t="s">
        <v>46</v>
      </c>
      <c r="Q27" s="844">
        <f>'APBDES 2025'!E43</f>
        <v>52002100</v>
      </c>
      <c r="R27" s="408" t="s">
        <v>50</v>
      </c>
      <c r="S27" s="24" t="s">
        <v>47</v>
      </c>
      <c r="X27" s="863"/>
      <c r="Y27" s="864" t="s">
        <v>892</v>
      </c>
    </row>
    <row r="28" spans="1:26" ht="46.5" customHeight="1" x14ac:dyDescent="0.25">
      <c r="A28" s="1262"/>
      <c r="B28" s="1263"/>
      <c r="C28" s="1263"/>
      <c r="D28" s="1263"/>
      <c r="E28" s="1264"/>
      <c r="F28" s="14">
        <v>6</v>
      </c>
      <c r="G28" s="843" t="s">
        <v>799</v>
      </c>
      <c r="H28" s="843"/>
      <c r="I28" s="1261"/>
      <c r="J28" s="1258"/>
      <c r="K28" s="1257"/>
      <c r="L28" s="1258"/>
      <c r="M28" s="22" t="s">
        <v>142</v>
      </c>
      <c r="N28" s="24" t="s">
        <v>51</v>
      </c>
      <c r="O28" s="24" t="s">
        <v>51</v>
      </c>
      <c r="P28" s="407" t="s">
        <v>46</v>
      </c>
      <c r="Q28" s="844">
        <f>'APBDES 2025'!E44</f>
        <v>34674100</v>
      </c>
      <c r="R28" s="408" t="s">
        <v>50</v>
      </c>
      <c r="S28" s="24" t="s">
        <v>47</v>
      </c>
    </row>
    <row r="29" spans="1:26" ht="46.5" customHeight="1" x14ac:dyDescent="0.25">
      <c r="A29" s="1262"/>
      <c r="B29" s="1263"/>
      <c r="C29" s="1263"/>
      <c r="D29" s="1263"/>
      <c r="E29" s="1264"/>
      <c r="F29" s="14">
        <v>7</v>
      </c>
      <c r="G29" s="843" t="s">
        <v>870</v>
      </c>
      <c r="H29" s="843"/>
      <c r="I29" s="1261"/>
      <c r="J29" s="1258"/>
      <c r="K29" s="1257"/>
      <c r="L29" s="1258"/>
      <c r="M29" s="22" t="s">
        <v>82</v>
      </c>
      <c r="N29" s="24" t="s">
        <v>51</v>
      </c>
      <c r="O29" s="24" t="s">
        <v>51</v>
      </c>
      <c r="P29" s="407" t="s">
        <v>46</v>
      </c>
      <c r="Q29" s="844">
        <f>'APBDES 2025'!E45</f>
        <v>54116400</v>
      </c>
      <c r="R29" s="408" t="s">
        <v>50</v>
      </c>
      <c r="S29" s="24" t="s">
        <v>47</v>
      </c>
    </row>
    <row r="30" spans="1:26" ht="46.5" customHeight="1" x14ac:dyDescent="0.25">
      <c r="A30" s="1262"/>
      <c r="B30" s="1263"/>
      <c r="C30" s="1263"/>
      <c r="D30" s="1263"/>
      <c r="E30" s="1264"/>
      <c r="F30" s="14">
        <v>8</v>
      </c>
      <c r="G30" s="843" t="s">
        <v>801</v>
      </c>
      <c r="H30" s="843"/>
      <c r="I30" s="1261"/>
      <c r="J30" s="1258"/>
      <c r="K30" s="1257"/>
      <c r="L30" s="1258"/>
      <c r="M30" s="22" t="s">
        <v>143</v>
      </c>
      <c r="N30" s="24" t="s">
        <v>51</v>
      </c>
      <c r="O30" s="24" t="s">
        <v>51</v>
      </c>
      <c r="P30" s="407" t="s">
        <v>46</v>
      </c>
      <c r="Q30" s="844">
        <f>'APBDES 2025'!E46</f>
        <v>45571100</v>
      </c>
      <c r="R30" s="408" t="s">
        <v>50</v>
      </c>
      <c r="S30" s="24" t="s">
        <v>47</v>
      </c>
    </row>
    <row r="31" spans="1:26" ht="46.5" customHeight="1" x14ac:dyDescent="0.25">
      <c r="A31" s="1262"/>
      <c r="B31" s="1263"/>
      <c r="C31" s="1263"/>
      <c r="D31" s="1263"/>
      <c r="E31" s="1264"/>
      <c r="F31" s="14">
        <v>10</v>
      </c>
      <c r="G31" s="843" t="s">
        <v>884</v>
      </c>
      <c r="H31" s="843"/>
      <c r="I31" s="1261"/>
      <c r="J31" s="1258"/>
      <c r="K31" s="1257"/>
      <c r="L31" s="1258"/>
      <c r="M31" s="22" t="s">
        <v>144</v>
      </c>
      <c r="N31" s="24" t="s">
        <v>51</v>
      </c>
      <c r="O31" s="24" t="s">
        <v>51</v>
      </c>
      <c r="P31" s="407" t="s">
        <v>46</v>
      </c>
      <c r="Q31" s="844">
        <v>89040200</v>
      </c>
      <c r="R31" s="408" t="s">
        <v>50</v>
      </c>
      <c r="S31" s="24" t="s">
        <v>47</v>
      </c>
    </row>
    <row r="32" spans="1:26" ht="46.5" customHeight="1" x14ac:dyDescent="0.25">
      <c r="A32" s="1262"/>
      <c r="B32" s="1263"/>
      <c r="C32" s="1263"/>
      <c r="D32" s="1263"/>
      <c r="E32" s="1264"/>
      <c r="F32" s="14">
        <v>11</v>
      </c>
      <c r="G32" s="843" t="s">
        <v>711</v>
      </c>
      <c r="H32" s="845"/>
      <c r="I32" s="1261"/>
      <c r="J32" s="1258"/>
      <c r="K32" s="1257"/>
      <c r="L32" s="1258"/>
      <c r="M32" s="22" t="s">
        <v>444</v>
      </c>
      <c r="N32" s="24" t="s">
        <v>51</v>
      </c>
      <c r="O32" s="24" t="s">
        <v>51</v>
      </c>
      <c r="P32" s="407" t="s">
        <v>46</v>
      </c>
      <c r="Q32" s="844">
        <v>5000000</v>
      </c>
      <c r="R32" s="408" t="s">
        <v>50</v>
      </c>
      <c r="S32" s="24" t="s">
        <v>47</v>
      </c>
    </row>
    <row r="33" spans="1:26" ht="46.5" customHeight="1" x14ac:dyDescent="0.25">
      <c r="A33" s="1262"/>
      <c r="B33" s="1263"/>
      <c r="C33" s="1263"/>
      <c r="D33" s="1263"/>
      <c r="E33" s="1264"/>
      <c r="F33" s="21">
        <v>12</v>
      </c>
      <c r="G33" s="1249" t="s">
        <v>865</v>
      </c>
      <c r="H33" s="1305"/>
      <c r="I33" s="1257"/>
      <c r="J33" s="1258"/>
      <c r="K33" s="1257"/>
      <c r="L33" s="1258"/>
      <c r="M33" s="22" t="s">
        <v>863</v>
      </c>
      <c r="N33" s="24" t="s">
        <v>864</v>
      </c>
      <c r="O33" s="24" t="s">
        <v>864</v>
      </c>
      <c r="P33" s="407" t="s">
        <v>46</v>
      </c>
      <c r="Q33" s="846">
        <v>381299700</v>
      </c>
      <c r="R33" s="408" t="s">
        <v>50</v>
      </c>
      <c r="S33" s="24" t="s">
        <v>47</v>
      </c>
    </row>
    <row r="34" spans="1:26" ht="46.5" customHeight="1" x14ac:dyDescent="0.25">
      <c r="A34" s="1262"/>
      <c r="B34" s="1263"/>
      <c r="C34" s="1263"/>
      <c r="D34" s="1263"/>
      <c r="E34" s="1264"/>
      <c r="F34" s="21">
        <v>13</v>
      </c>
      <c r="G34" s="1259" t="s">
        <v>866</v>
      </c>
      <c r="H34" s="1260"/>
      <c r="I34" s="1257"/>
      <c r="J34" s="1258"/>
      <c r="K34" s="1257"/>
      <c r="L34" s="1258"/>
      <c r="M34" s="22" t="s">
        <v>867</v>
      </c>
      <c r="N34" s="24" t="s">
        <v>864</v>
      </c>
      <c r="O34" s="24" t="s">
        <v>864</v>
      </c>
      <c r="P34" s="407" t="s">
        <v>46</v>
      </c>
      <c r="Q34" s="846">
        <v>254199800</v>
      </c>
      <c r="R34" s="408" t="s">
        <v>50</v>
      </c>
      <c r="S34" s="24" t="s">
        <v>47</v>
      </c>
    </row>
    <row r="35" spans="1:26" s="23" customFormat="1" ht="24.75" customHeight="1" x14ac:dyDescent="0.25">
      <c r="A35" s="14">
        <v>3</v>
      </c>
      <c r="B35" s="1277" t="s">
        <v>85</v>
      </c>
      <c r="C35" s="1277"/>
      <c r="D35" s="1277"/>
      <c r="E35" s="1277"/>
      <c r="F35" s="1277"/>
      <c r="G35" s="1277"/>
      <c r="H35" s="1277"/>
      <c r="I35" s="1277"/>
      <c r="J35" s="1277"/>
      <c r="K35" s="1277"/>
      <c r="L35" s="1277"/>
      <c r="M35" s="1277"/>
      <c r="N35" s="1277"/>
      <c r="O35" s="1277"/>
      <c r="P35" s="1277"/>
      <c r="Q35" s="832">
        <f>SUM(Q36:Q46)</f>
        <v>102000000</v>
      </c>
      <c r="R35" s="1290"/>
      <c r="S35" s="1290"/>
      <c r="Z35" s="6"/>
    </row>
    <row r="36" spans="1:26" ht="60" customHeight="1" x14ac:dyDescent="0.25">
      <c r="A36" s="1262" t="s">
        <v>86</v>
      </c>
      <c r="B36" s="1263"/>
      <c r="C36" s="1263"/>
      <c r="D36" s="1263"/>
      <c r="E36" s="1264"/>
      <c r="F36" s="16">
        <v>1</v>
      </c>
      <c r="G36" s="1280" t="s">
        <v>87</v>
      </c>
      <c r="H36" s="1281"/>
      <c r="I36" s="1304" t="s">
        <v>88</v>
      </c>
      <c r="J36" s="1268"/>
      <c r="K36" s="1267" t="s">
        <v>89</v>
      </c>
      <c r="L36" s="1268"/>
      <c r="M36" s="30" t="s">
        <v>90</v>
      </c>
      <c r="N36" s="17" t="s">
        <v>51</v>
      </c>
      <c r="O36" s="17" t="s">
        <v>91</v>
      </c>
      <c r="P36" s="22" t="s">
        <v>46</v>
      </c>
      <c r="Q36" s="831">
        <v>3000000</v>
      </c>
      <c r="R36" s="17" t="s">
        <v>25</v>
      </c>
      <c r="S36" s="17" t="s">
        <v>47</v>
      </c>
    </row>
    <row r="37" spans="1:26" ht="52.5" customHeight="1" x14ac:dyDescent="0.25">
      <c r="A37" s="1262"/>
      <c r="B37" s="1263"/>
      <c r="C37" s="1263"/>
      <c r="D37" s="1263"/>
      <c r="E37" s="1264"/>
      <c r="F37" s="21">
        <v>2</v>
      </c>
      <c r="G37" s="1253" t="s">
        <v>92</v>
      </c>
      <c r="H37" s="1254"/>
      <c r="I37" s="1245" t="s">
        <v>93</v>
      </c>
      <c r="J37" s="1246"/>
      <c r="K37" s="1245" t="s">
        <v>94</v>
      </c>
      <c r="L37" s="1246"/>
      <c r="M37" s="30" t="s">
        <v>90</v>
      </c>
      <c r="N37" s="17" t="s">
        <v>51</v>
      </c>
      <c r="O37" s="24" t="s">
        <v>412</v>
      </c>
      <c r="P37" s="22" t="s">
        <v>46</v>
      </c>
      <c r="Q37" s="831">
        <v>5000000</v>
      </c>
      <c r="R37" s="22" t="s">
        <v>25</v>
      </c>
      <c r="S37" s="22" t="s">
        <v>47</v>
      </c>
    </row>
    <row r="38" spans="1:26" ht="52.5" customHeight="1" x14ac:dyDescent="0.25">
      <c r="A38" s="1262"/>
      <c r="B38" s="1263"/>
      <c r="C38" s="1263"/>
      <c r="D38" s="1263"/>
      <c r="E38" s="1264"/>
      <c r="F38" s="16">
        <v>3</v>
      </c>
      <c r="G38" s="1247" t="s">
        <v>446</v>
      </c>
      <c r="H38" s="1248"/>
      <c r="I38" s="1245" t="s">
        <v>95</v>
      </c>
      <c r="J38" s="1246"/>
      <c r="K38" s="1245" t="s">
        <v>96</v>
      </c>
      <c r="L38" s="1246"/>
      <c r="M38" s="30" t="s">
        <v>90</v>
      </c>
      <c r="N38" s="17" t="s">
        <v>51</v>
      </c>
      <c r="O38" s="24" t="s">
        <v>412</v>
      </c>
      <c r="P38" s="22" t="s">
        <v>46</v>
      </c>
      <c r="Q38" s="831">
        <v>5000000</v>
      </c>
      <c r="R38" s="12" t="s">
        <v>25</v>
      </c>
      <c r="S38" s="22" t="s">
        <v>47</v>
      </c>
    </row>
    <row r="39" spans="1:26" ht="52.5" customHeight="1" x14ac:dyDescent="0.25">
      <c r="A39" s="1262"/>
      <c r="B39" s="1263"/>
      <c r="C39" s="1263"/>
      <c r="D39" s="1263"/>
      <c r="E39" s="1264"/>
      <c r="F39" s="21">
        <v>4</v>
      </c>
      <c r="G39" s="1259" t="s">
        <v>871</v>
      </c>
      <c r="H39" s="1260"/>
      <c r="I39" s="1245" t="s">
        <v>97</v>
      </c>
      <c r="J39" s="1246"/>
      <c r="K39" s="1245" t="s">
        <v>98</v>
      </c>
      <c r="L39" s="1246"/>
      <c r="M39" s="30" t="s">
        <v>90</v>
      </c>
      <c r="N39" s="17" t="s">
        <v>51</v>
      </c>
      <c r="O39" s="24" t="s">
        <v>412</v>
      </c>
      <c r="P39" s="22" t="s">
        <v>46</v>
      </c>
      <c r="Q39" s="831">
        <v>12000000</v>
      </c>
      <c r="R39" s="12" t="s">
        <v>25</v>
      </c>
      <c r="S39" s="22" t="s">
        <v>47</v>
      </c>
    </row>
    <row r="40" spans="1:26" ht="52.5" customHeight="1" x14ac:dyDescent="0.25">
      <c r="A40" s="1262"/>
      <c r="B40" s="1263"/>
      <c r="C40" s="1263"/>
      <c r="D40" s="1263"/>
      <c r="E40" s="1264"/>
      <c r="F40" s="16">
        <v>5</v>
      </c>
      <c r="G40" s="1259" t="s">
        <v>447</v>
      </c>
      <c r="H40" s="1260"/>
      <c r="I40" s="1245" t="s">
        <v>99</v>
      </c>
      <c r="J40" s="1246"/>
      <c r="K40" s="1245" t="s">
        <v>100</v>
      </c>
      <c r="L40" s="1246"/>
      <c r="M40" s="30" t="s">
        <v>90</v>
      </c>
      <c r="N40" s="17" t="s">
        <v>51</v>
      </c>
      <c r="O40" s="24" t="s">
        <v>101</v>
      </c>
      <c r="P40" s="22" t="s">
        <v>102</v>
      </c>
      <c r="Q40" s="831">
        <v>10000000</v>
      </c>
      <c r="R40" s="12" t="s">
        <v>54</v>
      </c>
      <c r="S40" s="22" t="s">
        <v>47</v>
      </c>
    </row>
    <row r="41" spans="1:26" ht="52.5" customHeight="1" x14ac:dyDescent="0.25">
      <c r="A41" s="1262"/>
      <c r="B41" s="1263"/>
      <c r="C41" s="1263"/>
      <c r="D41" s="1263"/>
      <c r="E41" s="1264"/>
      <c r="F41" s="21">
        <v>6</v>
      </c>
      <c r="G41" s="1259" t="s">
        <v>103</v>
      </c>
      <c r="H41" s="1260"/>
      <c r="I41" s="1245" t="s">
        <v>104</v>
      </c>
      <c r="J41" s="1246"/>
      <c r="K41" s="1245" t="s">
        <v>105</v>
      </c>
      <c r="L41" s="1246"/>
      <c r="M41" s="30" t="s">
        <v>90</v>
      </c>
      <c r="N41" s="17" t="s">
        <v>51</v>
      </c>
      <c r="O41" s="24" t="s">
        <v>412</v>
      </c>
      <c r="P41" s="22" t="s">
        <v>46</v>
      </c>
      <c r="Q41" s="831">
        <v>5000000</v>
      </c>
      <c r="R41" s="12" t="s">
        <v>25</v>
      </c>
      <c r="S41" s="22" t="s">
        <v>47</v>
      </c>
    </row>
    <row r="42" spans="1:26" ht="52.5" customHeight="1" x14ac:dyDescent="0.25">
      <c r="A42" s="1262"/>
      <c r="B42" s="1263"/>
      <c r="C42" s="1263"/>
      <c r="D42" s="1263"/>
      <c r="E42" s="1264"/>
      <c r="F42" s="16">
        <v>7</v>
      </c>
      <c r="G42" s="1259" t="s">
        <v>868</v>
      </c>
      <c r="H42" s="1260"/>
      <c r="I42" s="1245" t="s">
        <v>874</v>
      </c>
      <c r="J42" s="1246"/>
      <c r="K42" s="1245" t="s">
        <v>875</v>
      </c>
      <c r="L42" s="1246"/>
      <c r="M42" s="30" t="s">
        <v>878</v>
      </c>
      <c r="N42" s="17" t="s">
        <v>51</v>
      </c>
      <c r="O42" s="24" t="s">
        <v>412</v>
      </c>
      <c r="P42" s="22" t="s">
        <v>46</v>
      </c>
      <c r="Q42" s="831">
        <v>5000000</v>
      </c>
      <c r="R42" s="12" t="s">
        <v>25</v>
      </c>
      <c r="S42" s="22" t="s">
        <v>47</v>
      </c>
    </row>
    <row r="43" spans="1:26" ht="52.5" customHeight="1" x14ac:dyDescent="0.25">
      <c r="A43" s="1262"/>
      <c r="B43" s="1263"/>
      <c r="C43" s="1263"/>
      <c r="D43" s="1263"/>
      <c r="E43" s="1264"/>
      <c r="F43" s="21">
        <v>8</v>
      </c>
      <c r="G43" s="1259" t="s">
        <v>869</v>
      </c>
      <c r="H43" s="1260"/>
      <c r="I43" s="1245" t="s">
        <v>876</v>
      </c>
      <c r="J43" s="1246"/>
      <c r="K43" s="1245" t="s">
        <v>877</v>
      </c>
      <c r="L43" s="1246"/>
      <c r="M43" s="30" t="s">
        <v>879</v>
      </c>
      <c r="N43" s="17" t="s">
        <v>51</v>
      </c>
      <c r="O43" s="24" t="s">
        <v>412</v>
      </c>
      <c r="P43" s="22" t="s">
        <v>46</v>
      </c>
      <c r="Q43" s="831">
        <v>5000000</v>
      </c>
      <c r="R43" s="12" t="s">
        <v>25</v>
      </c>
      <c r="S43" s="22" t="s">
        <v>47</v>
      </c>
    </row>
    <row r="44" spans="1:26" ht="67.5" customHeight="1" x14ac:dyDescent="0.25">
      <c r="A44" s="1262"/>
      <c r="B44" s="1263"/>
      <c r="C44" s="1263"/>
      <c r="D44" s="1263"/>
      <c r="E44" s="1264"/>
      <c r="F44" s="16">
        <v>9</v>
      </c>
      <c r="G44" s="1259" t="s">
        <v>885</v>
      </c>
      <c r="H44" s="1260"/>
      <c r="I44" s="1245" t="s">
        <v>886</v>
      </c>
      <c r="J44" s="1246"/>
      <c r="K44" s="1245" t="s">
        <v>887</v>
      </c>
      <c r="L44" s="1246"/>
      <c r="M44" s="30" t="s">
        <v>888</v>
      </c>
      <c r="N44" s="17" t="s">
        <v>51</v>
      </c>
      <c r="O44" s="24" t="s">
        <v>412</v>
      </c>
      <c r="P44" s="22" t="s">
        <v>46</v>
      </c>
      <c r="Q44" s="831">
        <v>7000000</v>
      </c>
      <c r="R44" s="12" t="s">
        <v>54</v>
      </c>
      <c r="S44" s="22" t="s">
        <v>47</v>
      </c>
    </row>
    <row r="45" spans="1:26" ht="52.5" customHeight="1" x14ac:dyDescent="0.25">
      <c r="A45" s="1262"/>
      <c r="B45" s="1263"/>
      <c r="C45" s="1263"/>
      <c r="D45" s="1263"/>
      <c r="E45" s="1264"/>
      <c r="F45" s="21">
        <v>10</v>
      </c>
      <c r="G45" s="1259" t="s">
        <v>880</v>
      </c>
      <c r="H45" s="1260"/>
      <c r="I45" s="1245" t="s">
        <v>881</v>
      </c>
      <c r="J45" s="1246"/>
      <c r="K45" s="1245" t="s">
        <v>882</v>
      </c>
      <c r="L45" s="1246"/>
      <c r="M45" s="30" t="s">
        <v>883</v>
      </c>
      <c r="N45" s="17" t="s">
        <v>51</v>
      </c>
      <c r="O45" s="24" t="s">
        <v>412</v>
      </c>
      <c r="P45" s="22" t="s">
        <v>46</v>
      </c>
      <c r="Q45" s="831">
        <v>35000000</v>
      </c>
      <c r="R45" s="12" t="s">
        <v>25</v>
      </c>
      <c r="S45" s="22" t="s">
        <v>47</v>
      </c>
    </row>
    <row r="46" spans="1:26" ht="53.25" customHeight="1" x14ac:dyDescent="0.25">
      <c r="A46" s="1262"/>
      <c r="B46" s="1263"/>
      <c r="C46" s="1263"/>
      <c r="D46" s="1263"/>
      <c r="E46" s="1264"/>
      <c r="F46" s="16">
        <v>11</v>
      </c>
      <c r="G46" s="1302" t="s">
        <v>106</v>
      </c>
      <c r="H46" s="1303"/>
      <c r="I46" s="1275" t="s">
        <v>107</v>
      </c>
      <c r="J46" s="1276"/>
      <c r="K46" s="1275" t="s">
        <v>108</v>
      </c>
      <c r="L46" s="1276"/>
      <c r="M46" s="30" t="s">
        <v>90</v>
      </c>
      <c r="N46" s="17" t="s">
        <v>51</v>
      </c>
      <c r="O46" s="27" t="s">
        <v>109</v>
      </c>
      <c r="P46" s="22" t="s">
        <v>46</v>
      </c>
      <c r="Q46" s="833">
        <v>10000000</v>
      </c>
      <c r="R46" s="27" t="s">
        <v>25</v>
      </c>
      <c r="S46" s="27" t="s">
        <v>47</v>
      </c>
    </row>
    <row r="47" spans="1:26" s="23" customFormat="1" ht="24.75" customHeight="1" x14ac:dyDescent="0.25">
      <c r="A47" s="14">
        <v>4</v>
      </c>
      <c r="B47" s="1277" t="s">
        <v>413</v>
      </c>
      <c r="C47" s="1277"/>
      <c r="D47" s="1277"/>
      <c r="E47" s="1277"/>
      <c r="F47" s="1277"/>
      <c r="G47" s="1277"/>
      <c r="H47" s="1277"/>
      <c r="I47" s="1277"/>
      <c r="J47" s="1277"/>
      <c r="K47" s="1277"/>
      <c r="L47" s="1277"/>
      <c r="M47" s="1277"/>
      <c r="N47" s="1277"/>
      <c r="O47" s="1277"/>
      <c r="P47" s="1277"/>
      <c r="Q47" s="834">
        <f>SUM(Q48:Q49)</f>
        <v>1000000</v>
      </c>
      <c r="R47" s="1290"/>
      <c r="S47" s="1290"/>
      <c r="Z47" s="6"/>
    </row>
    <row r="48" spans="1:26" x14ac:dyDescent="0.25">
      <c r="A48" s="1262" t="s">
        <v>110</v>
      </c>
      <c r="B48" s="1263"/>
      <c r="C48" s="1263"/>
      <c r="D48" s="1263"/>
      <c r="E48" s="1264"/>
      <c r="F48" s="21">
        <v>1</v>
      </c>
      <c r="G48" s="1301" t="s">
        <v>111</v>
      </c>
      <c r="H48" s="1254"/>
      <c r="I48" s="1245" t="s">
        <v>112</v>
      </c>
      <c r="J48" s="1246"/>
      <c r="K48" s="1245" t="s">
        <v>112</v>
      </c>
      <c r="L48" s="1246"/>
      <c r="M48" s="24" t="s">
        <v>43</v>
      </c>
      <c r="N48" s="24" t="s">
        <v>51</v>
      </c>
      <c r="O48" s="24" t="s">
        <v>109</v>
      </c>
      <c r="P48" s="24" t="s">
        <v>83</v>
      </c>
      <c r="Q48" s="833">
        <v>0</v>
      </c>
      <c r="R48" s="27" t="s">
        <v>50</v>
      </c>
      <c r="S48" s="24" t="s">
        <v>47</v>
      </c>
    </row>
    <row r="49" spans="1:26" ht="48" customHeight="1" x14ac:dyDescent="0.25">
      <c r="A49" s="1262"/>
      <c r="B49" s="1263"/>
      <c r="C49" s="1263"/>
      <c r="D49" s="1263"/>
      <c r="E49" s="1264"/>
      <c r="F49" s="26">
        <v>2</v>
      </c>
      <c r="G49" s="1278" t="s">
        <v>113</v>
      </c>
      <c r="H49" s="1279"/>
      <c r="I49" s="1275" t="s">
        <v>114</v>
      </c>
      <c r="J49" s="1276"/>
      <c r="K49" s="1275" t="s">
        <v>114</v>
      </c>
      <c r="L49" s="1276"/>
      <c r="M49" s="27" t="s">
        <v>43</v>
      </c>
      <c r="N49" s="27" t="s">
        <v>51</v>
      </c>
      <c r="O49" s="27" t="s">
        <v>109</v>
      </c>
      <c r="P49" s="27" t="s">
        <v>84</v>
      </c>
      <c r="Q49" s="833">
        <v>1000000</v>
      </c>
      <c r="R49" s="27" t="s">
        <v>50</v>
      </c>
      <c r="S49" s="27" t="s">
        <v>47</v>
      </c>
    </row>
    <row r="50" spans="1:26" s="23" customFormat="1" ht="24.75" customHeight="1" x14ac:dyDescent="0.25">
      <c r="A50" s="14">
        <v>5</v>
      </c>
      <c r="B50" s="1277" t="s">
        <v>414</v>
      </c>
      <c r="C50" s="1277"/>
      <c r="D50" s="1277"/>
      <c r="E50" s="1277"/>
      <c r="F50" s="1277"/>
      <c r="G50" s="1277"/>
      <c r="H50" s="1277"/>
      <c r="I50" s="1277"/>
      <c r="J50" s="1277"/>
      <c r="K50" s="1277"/>
      <c r="L50" s="1277"/>
      <c r="M50" s="1277"/>
      <c r="N50" s="1277"/>
      <c r="O50" s="1277"/>
      <c r="P50" s="1277"/>
      <c r="Q50" s="832">
        <f>Q51</f>
        <v>128000000</v>
      </c>
      <c r="R50" s="1290"/>
      <c r="S50" s="1290"/>
      <c r="Z50" s="6"/>
    </row>
    <row r="51" spans="1:26" ht="38.25" customHeight="1" x14ac:dyDescent="0.25">
      <c r="A51" s="1312" t="s">
        <v>115</v>
      </c>
      <c r="B51" s="1313"/>
      <c r="C51" s="1313"/>
      <c r="D51" s="1313"/>
      <c r="E51" s="1314"/>
      <c r="F51" s="31">
        <v>1</v>
      </c>
      <c r="G51" s="1316" t="s">
        <v>116</v>
      </c>
      <c r="H51" s="1317"/>
      <c r="I51" s="1269" t="s">
        <v>117</v>
      </c>
      <c r="J51" s="1270"/>
      <c r="K51" s="1269" t="s">
        <v>117</v>
      </c>
      <c r="L51" s="1270"/>
      <c r="M51" s="32" t="s">
        <v>43</v>
      </c>
      <c r="N51" s="32" t="s">
        <v>118</v>
      </c>
      <c r="O51" s="32" t="s">
        <v>119</v>
      </c>
      <c r="P51" s="32" t="s">
        <v>46</v>
      </c>
      <c r="Q51" s="835">
        <v>128000000</v>
      </c>
      <c r="R51" s="32" t="s">
        <v>50</v>
      </c>
      <c r="S51" s="32" t="s">
        <v>47</v>
      </c>
    </row>
    <row r="52" spans="1:26" ht="31.5" customHeight="1" x14ac:dyDescent="0.25">
      <c r="A52" s="1315" t="s">
        <v>996</v>
      </c>
      <c r="B52" s="1315"/>
      <c r="C52" s="1315"/>
      <c r="D52" s="1315"/>
      <c r="E52" s="1315"/>
      <c r="F52" s="1315"/>
      <c r="G52" s="1315"/>
      <c r="H52" s="1315"/>
      <c r="I52" s="1315"/>
      <c r="J52" s="1315"/>
      <c r="K52" s="1315"/>
      <c r="L52" s="1315"/>
      <c r="M52" s="1315"/>
      <c r="N52" s="1315"/>
      <c r="O52" s="1315"/>
      <c r="P52" s="1315"/>
      <c r="Q52" s="836">
        <f>Q50+Q47+Q35+Q22+Q9</f>
        <v>2241895523</v>
      </c>
      <c r="R52" s="1311"/>
      <c r="S52" s="1311"/>
      <c r="X52" s="35">
        <v>2032351158</v>
      </c>
    </row>
    <row r="53" spans="1:26" ht="9.75" customHeight="1" x14ac:dyDescent="0.25"/>
    <row r="54" spans="1:26" ht="14.4" x14ac:dyDescent="0.25">
      <c r="N54" s="1310" t="s">
        <v>995</v>
      </c>
      <c r="O54" s="1310"/>
      <c r="P54" s="1310"/>
      <c r="Q54" s="1310"/>
      <c r="R54" s="1310"/>
      <c r="S54" s="1310"/>
    </row>
    <row r="55" spans="1:26" x14ac:dyDescent="0.25">
      <c r="D55" s="1309"/>
      <c r="E55" s="1309"/>
      <c r="F55" s="1309"/>
      <c r="G55" s="1309"/>
      <c r="H55" s="1309"/>
    </row>
    <row r="56" spans="1:26" x14ac:dyDescent="0.25">
      <c r="D56" s="3"/>
      <c r="E56" s="3"/>
      <c r="F56" s="5"/>
      <c r="G56" s="3"/>
    </row>
    <row r="57" spans="1:26" x14ac:dyDescent="0.25">
      <c r="D57" s="3"/>
      <c r="E57" s="3"/>
      <c r="F57" s="5"/>
      <c r="G57" s="3"/>
    </row>
    <row r="58" spans="1:26" x14ac:dyDescent="0.25">
      <c r="D58" s="3"/>
      <c r="E58" s="3"/>
      <c r="F58" s="5"/>
      <c r="G58" s="3"/>
    </row>
    <row r="59" spans="1:26" x14ac:dyDescent="0.25">
      <c r="D59" s="1309"/>
      <c r="E59" s="1309"/>
      <c r="F59" s="1309"/>
      <c r="G59" s="1309"/>
      <c r="H59" s="1309"/>
    </row>
    <row r="60" spans="1:26" x14ac:dyDescent="0.25">
      <c r="D60" s="3"/>
      <c r="E60" s="3"/>
      <c r="F60" s="5"/>
      <c r="G60" s="3"/>
    </row>
    <row r="61" spans="1:26" x14ac:dyDescent="0.25">
      <c r="D61" s="3"/>
      <c r="E61" s="3"/>
      <c r="F61" s="5"/>
      <c r="G61" s="3"/>
    </row>
    <row r="62" spans="1:26" x14ac:dyDescent="0.25">
      <c r="D62" s="3"/>
      <c r="E62" s="3"/>
      <c r="F62" s="5"/>
      <c r="G62" s="3"/>
    </row>
  </sheetData>
  <mergeCells count="147">
    <mergeCell ref="A1:S1"/>
    <mergeCell ref="K28:L28"/>
    <mergeCell ref="G12:H12"/>
    <mergeCell ref="I24:J24"/>
    <mergeCell ref="K13:L13"/>
    <mergeCell ref="A6:A7"/>
    <mergeCell ref="Q6:R6"/>
    <mergeCell ref="K24:L24"/>
    <mergeCell ref="I17:J17"/>
    <mergeCell ref="R22:S22"/>
    <mergeCell ref="R9:S9"/>
    <mergeCell ref="S6:S7"/>
    <mergeCell ref="I15:J15"/>
    <mergeCell ref="A23:E34"/>
    <mergeCell ref="I26:J26"/>
    <mergeCell ref="K14:L14"/>
    <mergeCell ref="I13:J13"/>
    <mergeCell ref="I33:J33"/>
    <mergeCell ref="K23:L23"/>
    <mergeCell ref="K10:L10"/>
    <mergeCell ref="F6:H7"/>
    <mergeCell ref="D59:H59"/>
    <mergeCell ref="D55:H55"/>
    <mergeCell ref="B22:P22"/>
    <mergeCell ref="I37:J37"/>
    <mergeCell ref="K17:L17"/>
    <mergeCell ref="A36:E46"/>
    <mergeCell ref="N54:S54"/>
    <mergeCell ref="K49:L49"/>
    <mergeCell ref="R52:S52"/>
    <mergeCell ref="A51:E51"/>
    <mergeCell ref="R47:S47"/>
    <mergeCell ref="R50:S50"/>
    <mergeCell ref="I51:J51"/>
    <mergeCell ref="B50:P50"/>
    <mergeCell ref="K27:L27"/>
    <mergeCell ref="I41:J41"/>
    <mergeCell ref="K38:L38"/>
    <mergeCell ref="K48:L48"/>
    <mergeCell ref="A52:P52"/>
    <mergeCell ref="G51:H51"/>
    <mergeCell ref="K46:L46"/>
    <mergeCell ref="K26:L26"/>
    <mergeCell ref="B47:P47"/>
    <mergeCell ref="I38:J38"/>
    <mergeCell ref="I39:J39"/>
    <mergeCell ref="G48:H48"/>
    <mergeCell ref="K19:L19"/>
    <mergeCell ref="G34:H34"/>
    <mergeCell ref="G46:H46"/>
    <mergeCell ref="K21:L21"/>
    <mergeCell ref="K15:L15"/>
    <mergeCell ref="K37:L37"/>
    <mergeCell ref="I36:J36"/>
    <mergeCell ref="I48:J48"/>
    <mergeCell ref="G19:H19"/>
    <mergeCell ref="I21:J21"/>
    <mergeCell ref="G16:H16"/>
    <mergeCell ref="K18:L18"/>
    <mergeCell ref="I34:J34"/>
    <mergeCell ref="G33:H33"/>
    <mergeCell ref="G42:H42"/>
    <mergeCell ref="G43:H43"/>
    <mergeCell ref="I42:J42"/>
    <mergeCell ref="I18:J18"/>
    <mergeCell ref="I19:J19"/>
    <mergeCell ref="K36:L36"/>
    <mergeCell ref="A2:S2"/>
    <mergeCell ref="W8:X9"/>
    <mergeCell ref="A3:S3"/>
    <mergeCell ref="N6:N7"/>
    <mergeCell ref="I30:J30"/>
    <mergeCell ref="K40:L40"/>
    <mergeCell ref="G24:H24"/>
    <mergeCell ref="F8:H8"/>
    <mergeCell ref="R35:S35"/>
    <mergeCell ref="B9:P9"/>
    <mergeCell ref="B6:E7"/>
    <mergeCell ref="K8:L8"/>
    <mergeCell ref="K39:L39"/>
    <mergeCell ref="K11:L11"/>
    <mergeCell ref="P6:P7"/>
    <mergeCell ref="I12:J12"/>
    <mergeCell ref="I6:J7"/>
    <mergeCell ref="G10:H10"/>
    <mergeCell ref="K25:L25"/>
    <mergeCell ref="B8:E8"/>
    <mergeCell ref="I14:J14"/>
    <mergeCell ref="G17:H17"/>
    <mergeCell ref="G21:H21"/>
    <mergeCell ref="M6:M7"/>
    <mergeCell ref="O6:O7"/>
    <mergeCell ref="I23:J23"/>
    <mergeCell ref="K51:L51"/>
    <mergeCell ref="A48:E49"/>
    <mergeCell ref="Y8:Y9"/>
    <mergeCell ref="G20:H20"/>
    <mergeCell ref="K6:L7"/>
    <mergeCell ref="K41:L41"/>
    <mergeCell ref="I49:J49"/>
    <mergeCell ref="I25:J25"/>
    <mergeCell ref="I46:J46"/>
    <mergeCell ref="G40:H40"/>
    <mergeCell ref="B35:P35"/>
    <mergeCell ref="G39:H39"/>
    <mergeCell ref="G49:H49"/>
    <mergeCell ref="I20:J20"/>
    <mergeCell ref="I32:J32"/>
    <mergeCell ref="I10:J10"/>
    <mergeCell ref="G11:H11"/>
    <mergeCell ref="I28:J28"/>
    <mergeCell ref="K20:L20"/>
    <mergeCell ref="I31:J31"/>
    <mergeCell ref="G41:H41"/>
    <mergeCell ref="G36:H36"/>
    <mergeCell ref="G45:H45"/>
    <mergeCell ref="I45:J45"/>
    <mergeCell ref="K45:L45"/>
    <mergeCell ref="G44:H44"/>
    <mergeCell ref="I44:J44"/>
    <mergeCell ref="K44:L44"/>
    <mergeCell ref="I27:J27"/>
    <mergeCell ref="I29:J29"/>
    <mergeCell ref="A10:E21"/>
    <mergeCell ref="G13:H13"/>
    <mergeCell ref="G15:H15"/>
    <mergeCell ref="G14:H14"/>
    <mergeCell ref="I40:J40"/>
    <mergeCell ref="G38:H38"/>
    <mergeCell ref="G23:H23"/>
    <mergeCell ref="I8:J8"/>
    <mergeCell ref="G37:H37"/>
    <mergeCell ref="Z8:Z9"/>
    <mergeCell ref="K42:L42"/>
    <mergeCell ref="I43:J43"/>
    <mergeCell ref="K43:L43"/>
    <mergeCell ref="K29:L29"/>
    <mergeCell ref="K30:L30"/>
    <mergeCell ref="K31:L31"/>
    <mergeCell ref="K32:L32"/>
    <mergeCell ref="K33:L33"/>
    <mergeCell ref="K34:L34"/>
    <mergeCell ref="I11:J11"/>
    <mergeCell ref="K12:L12"/>
    <mergeCell ref="I16:J16"/>
    <mergeCell ref="K16:L16"/>
    <mergeCell ref="G18:H18"/>
  </mergeCells>
  <phoneticPr fontId="63" type="noConversion"/>
  <pageMargins left="0.51181102362204722" right="0.23622047244094491" top="0.39370078740157483" bottom="0.39370078740157483" header="0.31496062992125984" footer="0.19685039370078741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Y136"/>
  <sheetViews>
    <sheetView topLeftCell="A4" zoomScale="70" zoomScaleNormal="120" workbookViewId="0">
      <selection activeCell="A3" sqref="A3:S3"/>
    </sheetView>
  </sheetViews>
  <sheetFormatPr defaultColWidth="9.33203125" defaultRowHeight="13.2" x14ac:dyDescent="0.25"/>
  <cols>
    <col min="1" max="1" width="5.77734375" style="2" customWidth="1"/>
    <col min="2" max="2" width="9.33203125" style="2" customWidth="1"/>
    <col min="3" max="3" width="1.109375" style="2" customWidth="1"/>
    <col min="4" max="4" width="10.44140625" style="2" customWidth="1"/>
    <col min="5" max="5" width="2.109375" style="2" customWidth="1"/>
    <col min="6" max="6" width="6.77734375" style="3" customWidth="1"/>
    <col min="7" max="7" width="55.33203125" style="4" customWidth="1"/>
    <col min="8" max="8" width="0.77734375" style="3" customWidth="1"/>
    <col min="9" max="9" width="6.77734375" style="3" customWidth="1"/>
    <col min="10" max="10" width="16.6640625" style="3" customWidth="1"/>
    <col min="11" max="11" width="30.77734375" style="3" customWidth="1"/>
    <col min="12" max="12" width="0.44140625" style="3" customWidth="1"/>
    <col min="13" max="13" width="19.33203125" style="3" customWidth="1"/>
    <col min="14" max="14" width="11.44140625" style="3" customWidth="1"/>
    <col min="15" max="15" width="13.44140625" style="3" customWidth="1"/>
    <col min="16" max="16" width="14" style="3" customWidth="1"/>
    <col min="17" max="17" width="21.44140625" style="5" bestFit="1" customWidth="1"/>
    <col min="18" max="18" width="13.33203125" style="3" customWidth="1"/>
    <col min="19" max="19" width="15.77734375" style="3" customWidth="1"/>
    <col min="20" max="21" width="1.109375" style="2" customWidth="1"/>
    <col min="22" max="23" width="9.33203125" style="2"/>
    <col min="24" max="24" width="32.109375" style="2" customWidth="1"/>
    <col min="25" max="25" width="32.44140625" style="2" customWidth="1"/>
    <col min="26" max="16384" width="9.33203125" style="2"/>
  </cols>
  <sheetData>
    <row r="1" spans="1:25" ht="18" customHeight="1" x14ac:dyDescent="0.25">
      <c r="A1" s="1282" t="s">
        <v>138</v>
      </c>
      <c r="B1" s="1282"/>
      <c r="C1" s="1282"/>
      <c r="D1" s="1282"/>
      <c r="E1" s="1282"/>
      <c r="F1" s="1282"/>
      <c r="G1" s="1282"/>
      <c r="H1" s="1282"/>
      <c r="I1" s="1282"/>
      <c r="J1" s="1282"/>
      <c r="K1" s="1282"/>
      <c r="L1" s="1282"/>
      <c r="M1" s="1282"/>
      <c r="N1" s="1282"/>
      <c r="O1" s="1282"/>
      <c r="P1" s="1282"/>
      <c r="Q1" s="1282"/>
      <c r="R1" s="1282"/>
      <c r="S1" s="1282"/>
    </row>
    <row r="2" spans="1:25" ht="18" customHeight="1" x14ac:dyDescent="0.25">
      <c r="A2" s="1282" t="s">
        <v>872</v>
      </c>
      <c r="B2" s="1282"/>
      <c r="C2" s="1282"/>
      <c r="D2" s="1282"/>
      <c r="E2" s="1282"/>
      <c r="F2" s="1282"/>
      <c r="G2" s="1282"/>
      <c r="H2" s="1282"/>
      <c r="I2" s="1282"/>
      <c r="J2" s="1282"/>
      <c r="K2" s="1282"/>
      <c r="L2" s="1282"/>
      <c r="M2" s="1282"/>
      <c r="N2" s="1282"/>
      <c r="O2" s="1282"/>
      <c r="P2" s="1282"/>
      <c r="Q2" s="1282"/>
      <c r="R2" s="1282"/>
      <c r="S2" s="1282"/>
    </row>
    <row r="3" spans="1:25" ht="18" customHeight="1" x14ac:dyDescent="0.25">
      <c r="A3" s="1282" t="s">
        <v>26</v>
      </c>
      <c r="B3" s="1284"/>
      <c r="C3" s="1284"/>
      <c r="D3" s="1284"/>
      <c r="E3" s="1284"/>
      <c r="F3" s="1284"/>
      <c r="G3" s="1284"/>
      <c r="H3" s="1284"/>
      <c r="I3" s="1284"/>
      <c r="J3" s="1284"/>
      <c r="K3" s="1284"/>
      <c r="L3" s="1284"/>
      <c r="M3" s="1284"/>
      <c r="N3" s="1284"/>
      <c r="O3" s="1284"/>
      <c r="P3" s="1284"/>
      <c r="Q3" s="1284"/>
      <c r="R3" s="1284"/>
      <c r="S3" s="1284"/>
    </row>
    <row r="4" spans="1:25" ht="18" customHeight="1" x14ac:dyDescent="0.25">
      <c r="A4" s="8"/>
    </row>
    <row r="5" spans="1:25" ht="18" customHeight="1" x14ac:dyDescent="0.25">
      <c r="A5" s="8"/>
    </row>
    <row r="6" spans="1:25" ht="24" customHeight="1" x14ac:dyDescent="0.25">
      <c r="A6" s="1337" t="s">
        <v>27</v>
      </c>
      <c r="B6" s="1291" t="s">
        <v>1</v>
      </c>
      <c r="C6" s="1292"/>
      <c r="D6" s="1292"/>
      <c r="E6" s="1293"/>
      <c r="F6" s="1323" t="s">
        <v>28</v>
      </c>
      <c r="G6" s="1324"/>
      <c r="H6" s="1325"/>
      <c r="I6" s="1271" t="s">
        <v>386</v>
      </c>
      <c r="J6" s="1272"/>
      <c r="K6" s="1271" t="s">
        <v>387</v>
      </c>
      <c r="L6" s="1272"/>
      <c r="M6" s="1307" t="s">
        <v>29</v>
      </c>
      <c r="N6" s="1265" t="s">
        <v>388</v>
      </c>
      <c r="O6" s="1265" t="s">
        <v>389</v>
      </c>
      <c r="P6" s="1265" t="s">
        <v>390</v>
      </c>
      <c r="Q6" s="1320" t="s">
        <v>391</v>
      </c>
      <c r="R6" s="1321"/>
      <c r="S6" s="1265" t="s">
        <v>392</v>
      </c>
    </row>
    <row r="7" spans="1:25" ht="66.75" customHeight="1" x14ac:dyDescent="0.25">
      <c r="A7" s="1338"/>
      <c r="B7" s="1294"/>
      <c r="C7" s="1295"/>
      <c r="D7" s="1295"/>
      <c r="E7" s="1296"/>
      <c r="F7" s="1326"/>
      <c r="G7" s="1327"/>
      <c r="H7" s="1328"/>
      <c r="I7" s="1273"/>
      <c r="J7" s="1274"/>
      <c r="K7" s="1273"/>
      <c r="L7" s="1274"/>
      <c r="M7" s="1308"/>
      <c r="N7" s="1266"/>
      <c r="O7" s="1266"/>
      <c r="P7" s="1266"/>
      <c r="Q7" s="9" t="s">
        <v>393</v>
      </c>
      <c r="R7" s="10" t="s">
        <v>394</v>
      </c>
      <c r="S7" s="1266"/>
    </row>
    <row r="8" spans="1:25" ht="12.9" customHeight="1" x14ac:dyDescent="0.25">
      <c r="A8" s="11" t="s">
        <v>395</v>
      </c>
      <c r="B8" s="1298" t="s">
        <v>396</v>
      </c>
      <c r="C8" s="1299"/>
      <c r="D8" s="1299"/>
      <c r="E8" s="1300"/>
      <c r="F8" s="27"/>
      <c r="G8" s="1251" t="s">
        <v>30</v>
      </c>
      <c r="H8" s="1252"/>
      <c r="I8" s="1251" t="s">
        <v>31</v>
      </c>
      <c r="J8" s="1252"/>
      <c r="K8" s="1251" t="s">
        <v>32</v>
      </c>
      <c r="L8" s="1252"/>
      <c r="M8" s="12" t="s">
        <v>33</v>
      </c>
      <c r="N8" s="12" t="s">
        <v>34</v>
      </c>
      <c r="O8" s="12" t="s">
        <v>35</v>
      </c>
      <c r="P8" s="12" t="s">
        <v>36</v>
      </c>
      <c r="Q8" s="13" t="s">
        <v>37</v>
      </c>
      <c r="R8" s="12" t="s">
        <v>38</v>
      </c>
      <c r="S8" s="12" t="s">
        <v>39</v>
      </c>
      <c r="W8" s="1330"/>
      <c r="X8" s="1330"/>
      <c r="Y8" s="1329"/>
    </row>
    <row r="9" spans="1:25" ht="24.75" customHeight="1" x14ac:dyDescent="0.25">
      <c r="A9" s="36">
        <v>1</v>
      </c>
      <c r="B9" s="1277" t="s">
        <v>364</v>
      </c>
      <c r="C9" s="1277"/>
      <c r="D9" s="1277"/>
      <c r="E9" s="1277"/>
      <c r="F9" s="1277"/>
      <c r="G9" s="1277"/>
      <c r="H9" s="1277"/>
      <c r="I9" s="1277"/>
      <c r="J9" s="1277"/>
      <c r="K9" s="1277"/>
      <c r="L9" s="1277"/>
      <c r="M9" s="1277"/>
      <c r="N9" s="1277"/>
      <c r="O9" s="1277"/>
      <c r="P9" s="1277"/>
      <c r="Q9" s="15">
        <f>SUM(Q10:Q10)</f>
        <v>47400000</v>
      </c>
      <c r="R9" s="1322"/>
      <c r="S9" s="1322"/>
      <c r="W9" s="1330"/>
      <c r="X9" s="1330"/>
      <c r="Y9" s="1329"/>
    </row>
    <row r="10" spans="1:25" ht="45.75" customHeight="1" x14ac:dyDescent="0.25">
      <c r="A10" s="1262" t="s">
        <v>42</v>
      </c>
      <c r="B10" s="1263"/>
      <c r="C10" s="1263"/>
      <c r="D10" s="1263"/>
      <c r="E10" s="1264"/>
      <c r="F10" s="16">
        <v>1</v>
      </c>
      <c r="G10" s="1339" t="str">
        <f>'APBDES 2025'!D21</f>
        <v>: Penyediaan Penghasilan Tetap dan Tunjangan Kepala Desa</v>
      </c>
      <c r="H10" s="1340"/>
      <c r="I10" s="1344"/>
      <c r="J10" s="1345"/>
      <c r="K10" s="884" t="s">
        <v>981</v>
      </c>
      <c r="L10" s="884"/>
      <c r="M10" s="884" t="s">
        <v>980</v>
      </c>
      <c r="N10" s="884" t="s">
        <v>45</v>
      </c>
      <c r="O10" s="884"/>
      <c r="P10" s="884" t="s">
        <v>46</v>
      </c>
      <c r="Q10" s="885">
        <v>47400000</v>
      </c>
      <c r="R10" s="884" t="s">
        <v>982</v>
      </c>
      <c r="S10" s="17"/>
      <c r="W10" s="18"/>
      <c r="X10" s="19"/>
      <c r="Y10" s="20"/>
    </row>
    <row r="11" spans="1:25" s="25" customFormat="1" ht="33" customHeight="1" x14ac:dyDescent="0.25">
      <c r="A11" s="1262"/>
      <c r="B11" s="1263"/>
      <c r="C11" s="1263"/>
      <c r="D11" s="1263"/>
      <c r="E11" s="1264"/>
      <c r="F11" s="16">
        <v>2</v>
      </c>
      <c r="G11" s="1339" t="str">
        <f>'APBDES 2025'!D22</f>
        <v>Penyediaan Penghasilan Tetap dan Tunjangan Perangkat Desa</v>
      </c>
      <c r="H11" s="1340"/>
      <c r="I11" s="1342"/>
      <c r="J11" s="1342"/>
      <c r="K11" s="884" t="s">
        <v>983</v>
      </c>
      <c r="L11" s="884"/>
      <c r="M11" s="884" t="s">
        <v>980</v>
      </c>
      <c r="N11" s="884" t="s">
        <v>91</v>
      </c>
      <c r="O11" s="884"/>
      <c r="P11" s="884" t="s">
        <v>46</v>
      </c>
      <c r="Q11" s="885">
        <v>320400000</v>
      </c>
      <c r="R11" s="884" t="s">
        <v>982</v>
      </c>
      <c r="S11" s="871"/>
    </row>
    <row r="12" spans="1:25" s="25" customFormat="1" ht="33" customHeight="1" x14ac:dyDescent="0.25">
      <c r="A12" s="1262"/>
      <c r="B12" s="1263"/>
      <c r="C12" s="1263"/>
      <c r="D12" s="1263"/>
      <c r="E12" s="1264"/>
      <c r="F12" s="16">
        <v>3</v>
      </c>
      <c r="G12" s="1339" t="str">
        <f>'APBDES 2025'!D23</f>
        <v>BPJS Ketenaga kerjaan</v>
      </c>
      <c r="H12" s="1340"/>
      <c r="I12" s="1342"/>
      <c r="J12" s="1342"/>
      <c r="K12" s="884" t="s">
        <v>983</v>
      </c>
      <c r="L12" s="884"/>
      <c r="M12" s="884" t="s">
        <v>980</v>
      </c>
      <c r="N12" s="884" t="s">
        <v>984</v>
      </c>
      <c r="O12" s="884"/>
      <c r="P12" s="884" t="s">
        <v>46</v>
      </c>
      <c r="Q12" s="885">
        <v>57222000</v>
      </c>
      <c r="R12" s="884" t="s">
        <v>982</v>
      </c>
      <c r="S12" s="871"/>
    </row>
    <row r="13" spans="1:25" s="25" customFormat="1" ht="33" customHeight="1" x14ac:dyDescent="0.25">
      <c r="A13" s="1262"/>
      <c r="B13" s="1263"/>
      <c r="C13" s="1263"/>
      <c r="D13" s="1263"/>
      <c r="E13" s="1264"/>
      <c r="F13" s="16">
        <v>4</v>
      </c>
      <c r="G13" s="1339" t="str">
        <f>'APBDES 2025'!D24</f>
        <v>Penyediaan Operasional Pemerintah Desa (ATK, Honor PKPKD, PPKD, dll)</v>
      </c>
      <c r="H13" s="1340"/>
      <c r="I13" s="1342"/>
      <c r="J13" s="1342"/>
      <c r="K13" s="884" t="s">
        <v>985</v>
      </c>
      <c r="L13" s="884"/>
      <c r="M13" s="884" t="s">
        <v>980</v>
      </c>
      <c r="N13" s="884" t="s">
        <v>51</v>
      </c>
      <c r="O13" s="884"/>
      <c r="P13" s="884" t="s">
        <v>46</v>
      </c>
      <c r="Q13" s="885">
        <v>69399500</v>
      </c>
      <c r="R13" s="884" t="s">
        <v>982</v>
      </c>
      <c r="S13" s="871"/>
    </row>
    <row r="14" spans="1:25" s="25" customFormat="1" ht="33" customHeight="1" x14ac:dyDescent="0.25">
      <c r="A14" s="1262"/>
      <c r="B14" s="1263"/>
      <c r="C14" s="1263"/>
      <c r="D14" s="1263"/>
      <c r="E14" s="1264"/>
      <c r="F14" s="16">
        <v>5</v>
      </c>
      <c r="G14" s="1339" t="str">
        <f>'APBDES 2025'!D25</f>
        <v>Penyediaan Tunjangan BPD</v>
      </c>
      <c r="H14" s="1340"/>
      <c r="I14" s="1342"/>
      <c r="J14" s="1342"/>
      <c r="K14" s="884" t="s">
        <v>986</v>
      </c>
      <c r="L14" s="884"/>
      <c r="M14" s="884" t="s">
        <v>980</v>
      </c>
      <c r="N14" s="884" t="s">
        <v>57</v>
      </c>
      <c r="O14" s="884"/>
      <c r="P14" s="884" t="s">
        <v>46</v>
      </c>
      <c r="Q14" s="885">
        <v>30600000</v>
      </c>
      <c r="R14" s="884" t="s">
        <v>982</v>
      </c>
      <c r="S14" s="871"/>
    </row>
    <row r="15" spans="1:25" s="25" customFormat="1" ht="33" customHeight="1" x14ac:dyDescent="0.25">
      <c r="A15" s="1262"/>
      <c r="B15" s="1263"/>
      <c r="C15" s="1263"/>
      <c r="D15" s="1263"/>
      <c r="E15" s="1264"/>
      <c r="F15" s="16">
        <v>6</v>
      </c>
      <c r="G15" s="1339" t="str">
        <f>'APBDES 2025'!D26</f>
        <v>Penyediaan Operasional BPD (Rapat, ATK, Konsumsi, Pakaian Seragam, dll)</v>
      </c>
      <c r="H15" s="1340"/>
      <c r="I15" s="1342"/>
      <c r="J15" s="1342"/>
      <c r="K15" s="884" t="s">
        <v>987</v>
      </c>
      <c r="L15" s="884"/>
      <c r="M15" s="884" t="s">
        <v>980</v>
      </c>
      <c r="N15" s="884" t="s">
        <v>51</v>
      </c>
      <c r="O15" s="884"/>
      <c r="P15" s="884" t="s">
        <v>988</v>
      </c>
      <c r="Q15" s="885">
        <v>5000000</v>
      </c>
      <c r="R15" s="884" t="s">
        <v>982</v>
      </c>
      <c r="S15" s="871"/>
    </row>
    <row r="16" spans="1:25" s="25" customFormat="1" ht="33" customHeight="1" x14ac:dyDescent="0.25">
      <c r="A16" s="1262"/>
      <c r="B16" s="1263"/>
      <c r="C16" s="1263"/>
      <c r="D16" s="1263"/>
      <c r="E16" s="1264"/>
      <c r="F16" s="16">
        <v>7</v>
      </c>
      <c r="G16" s="1339" t="str">
        <f>'APBDES 2025'!D27</f>
        <v>Penyediaan Insentif / Operasional RT/RW</v>
      </c>
      <c r="H16" s="1340"/>
      <c r="I16" s="1342"/>
      <c r="J16" s="1342"/>
      <c r="K16" s="884" t="s">
        <v>990</v>
      </c>
      <c r="L16" s="884"/>
      <c r="M16" s="884" t="s">
        <v>980</v>
      </c>
      <c r="N16" s="884" t="s">
        <v>989</v>
      </c>
      <c r="O16" s="884"/>
      <c r="P16" s="884" t="s">
        <v>46</v>
      </c>
      <c r="Q16" s="885">
        <v>45000000</v>
      </c>
      <c r="R16" s="884" t="s">
        <v>982</v>
      </c>
      <c r="S16" s="871"/>
    </row>
    <row r="17" spans="1:19" s="25" customFormat="1" ht="33" customHeight="1" x14ac:dyDescent="0.25">
      <c r="A17" s="1262"/>
      <c r="B17" s="1263"/>
      <c r="C17" s="1263"/>
      <c r="D17" s="1263"/>
      <c r="E17" s="1264"/>
      <c r="F17" s="16">
        <v>8</v>
      </c>
      <c r="G17" s="1339" t="str">
        <f>'APBDES 2025'!D28</f>
        <v>Penyediaan Operasional Pemerintah Desa yang bersumber dari Dana Desa</v>
      </c>
      <c r="H17" s="1340"/>
      <c r="I17" s="1342"/>
      <c r="J17" s="1342"/>
      <c r="K17" s="1342"/>
      <c r="L17" s="1342"/>
      <c r="M17" s="871"/>
      <c r="N17" s="871"/>
      <c r="O17" s="871"/>
      <c r="P17" s="871"/>
      <c r="Q17" s="872"/>
      <c r="R17" s="871"/>
      <c r="S17" s="871"/>
    </row>
    <row r="18" spans="1:19" s="25" customFormat="1" ht="33" customHeight="1" x14ac:dyDescent="0.25">
      <c r="A18" s="1262"/>
      <c r="B18" s="1263"/>
      <c r="C18" s="1263"/>
      <c r="D18" s="1263"/>
      <c r="E18" s="1264"/>
      <c r="F18" s="16">
        <v>9</v>
      </c>
      <c r="G18" s="1339" t="str">
        <f>'APBDES 2025'!D29</f>
        <v>Penyediaan Sarana (Aset Tetap) Perkantoran/Pemerintahan</v>
      </c>
      <c r="H18" s="1340"/>
      <c r="I18" s="1342"/>
      <c r="J18" s="1342"/>
      <c r="K18" s="1342"/>
      <c r="L18" s="1342"/>
      <c r="M18" s="871"/>
      <c r="N18" s="871"/>
      <c r="O18" s="871"/>
      <c r="P18" s="871"/>
      <c r="Q18" s="872"/>
      <c r="R18" s="871"/>
      <c r="S18" s="871"/>
    </row>
    <row r="19" spans="1:19" s="25" customFormat="1" ht="33" customHeight="1" x14ac:dyDescent="0.25">
      <c r="A19" s="1262"/>
      <c r="B19" s="1263"/>
      <c r="C19" s="1263"/>
      <c r="D19" s="1263"/>
      <c r="E19" s="1264"/>
      <c r="F19" s="16">
        <v>10</v>
      </c>
      <c r="G19" s="1339" t="str">
        <f>'APBDES 2025'!D30</f>
        <v>Penyusunan Dokumen Perencanaan Desa dan Keuangan Desa (RPJMDes, RKPDes)</v>
      </c>
      <c r="H19" s="1340"/>
      <c r="I19" s="1342"/>
      <c r="J19" s="1342"/>
      <c r="K19" s="1342"/>
      <c r="L19" s="1342"/>
      <c r="M19" s="871"/>
      <c r="N19" s="871"/>
      <c r="O19" s="871"/>
      <c r="P19" s="871"/>
      <c r="Q19" s="872"/>
      <c r="R19" s="871"/>
      <c r="S19" s="871"/>
    </row>
    <row r="20" spans="1:19" s="25" customFormat="1" ht="33" customHeight="1" x14ac:dyDescent="0.25">
      <c r="A20" s="1262"/>
      <c r="B20" s="1263"/>
      <c r="C20" s="1263"/>
      <c r="D20" s="1263"/>
      <c r="E20" s="1264"/>
      <c r="F20" s="16">
        <v>11</v>
      </c>
      <c r="G20" s="1339" t="str">
        <f>'APBDES 2025'!D31</f>
        <v>Penyelenggaan Musyawarah Perencanaan Desa APBDes (Reguler)</v>
      </c>
      <c r="H20" s="1340"/>
      <c r="I20" s="1342"/>
      <c r="J20" s="1342"/>
      <c r="K20" s="1342"/>
      <c r="L20" s="1342"/>
      <c r="M20" s="871"/>
      <c r="N20" s="871"/>
      <c r="O20" s="871"/>
      <c r="P20" s="871"/>
      <c r="Q20" s="872"/>
      <c r="R20" s="871"/>
      <c r="S20" s="871"/>
    </row>
    <row r="21" spans="1:19" s="25" customFormat="1" ht="33" customHeight="1" x14ac:dyDescent="0.25">
      <c r="A21" s="1262"/>
      <c r="B21" s="1263"/>
      <c r="C21" s="1263"/>
      <c r="D21" s="1263"/>
      <c r="E21" s="1264"/>
      <c r="F21" s="16">
        <v>12</v>
      </c>
      <c r="G21" s="1339" t="str">
        <f>'APBDES 2025'!D32</f>
        <v>Penyelenggaraan Musyawarah Desa Lainnya (Musdus, Rembug Desa Non Reguler)</v>
      </c>
      <c r="H21" s="1340"/>
      <c r="I21" s="1342"/>
      <c r="J21" s="1342"/>
      <c r="K21" s="1342"/>
      <c r="L21" s="1342"/>
      <c r="M21" s="871"/>
      <c r="N21" s="871"/>
      <c r="O21" s="871"/>
      <c r="P21" s="871"/>
      <c r="Q21" s="872"/>
      <c r="R21" s="871"/>
      <c r="S21" s="871"/>
    </row>
    <row r="22" spans="1:19" s="25" customFormat="1" ht="33" customHeight="1" x14ac:dyDescent="0.25">
      <c r="A22" s="1262"/>
      <c r="B22" s="1263"/>
      <c r="C22" s="1263"/>
      <c r="D22" s="1263"/>
      <c r="E22" s="1264"/>
      <c r="F22" s="16">
        <v>13</v>
      </c>
      <c r="G22" s="1339" t="str">
        <f>'APBDES 2025'!D33</f>
        <v>Penyusunan Kebijakan Desa (Peraturan Desa, Peraturan Kepala Desa, selain RKPDes dan APBDes)</v>
      </c>
      <c r="H22" s="1340"/>
      <c r="I22" s="1342"/>
      <c r="J22" s="1342"/>
      <c r="K22" s="1342"/>
      <c r="L22" s="1342"/>
      <c r="M22" s="871"/>
      <c r="N22" s="871"/>
      <c r="O22" s="871"/>
      <c r="P22" s="871"/>
      <c r="Q22" s="872"/>
      <c r="R22" s="871"/>
      <c r="S22" s="871"/>
    </row>
    <row r="23" spans="1:19" s="25" customFormat="1" ht="33" customHeight="1" x14ac:dyDescent="0.25">
      <c r="A23" s="1262"/>
      <c r="B23" s="1263"/>
      <c r="C23" s="1263"/>
      <c r="D23" s="1263"/>
      <c r="E23" s="1264"/>
      <c r="F23" s="16">
        <v>14</v>
      </c>
      <c r="G23" s="1339" t="str">
        <f>'APBDES 2025'!D34</f>
        <v>Administrasi Pajak Bumi dan Bangunan (PBB)</v>
      </c>
      <c r="H23" s="1340"/>
      <c r="I23" s="1342"/>
      <c r="J23" s="1342"/>
      <c r="K23" s="1342"/>
      <c r="L23" s="1342"/>
      <c r="M23" s="871"/>
      <c r="N23" s="871"/>
      <c r="O23" s="871"/>
      <c r="P23" s="871"/>
      <c r="Q23" s="872"/>
      <c r="R23" s="871"/>
      <c r="S23" s="871"/>
    </row>
    <row r="24" spans="1:19" s="25" customFormat="1" ht="33" customHeight="1" x14ac:dyDescent="0.25">
      <c r="A24" s="1262"/>
      <c r="B24" s="1263"/>
      <c r="C24" s="1263"/>
      <c r="D24" s="1263"/>
      <c r="E24" s="1264"/>
      <c r="F24" s="16">
        <v>15</v>
      </c>
      <c r="G24" s="1339" t="str">
        <f>'APBDES 2025'!D35</f>
        <v>Penyediaan Operasional Pemerintah Desa (Pajak)</v>
      </c>
      <c r="H24" s="1340"/>
      <c r="I24" s="1342"/>
      <c r="J24" s="1342"/>
      <c r="K24" s="1342"/>
      <c r="L24" s="1342"/>
      <c r="M24" s="871"/>
      <c r="N24" s="871"/>
      <c r="O24" s="871"/>
      <c r="P24" s="871"/>
      <c r="Q24" s="872"/>
      <c r="R24" s="871"/>
      <c r="S24" s="871"/>
    </row>
    <row r="25" spans="1:19" s="25" customFormat="1" ht="33" customHeight="1" x14ac:dyDescent="0.25">
      <c r="A25" s="1262"/>
      <c r="B25" s="1263"/>
      <c r="C25" s="1263"/>
      <c r="D25" s="1263"/>
      <c r="E25" s="1264"/>
      <c r="F25" s="16">
        <v>16</v>
      </c>
      <c r="G25" s="1339" t="str">
        <f>'APBDES 2025'!D36</f>
        <v>Penyelenggaraan Pemilihan Kepala Desa</v>
      </c>
      <c r="H25" s="1340"/>
      <c r="I25" s="1342"/>
      <c r="J25" s="1342"/>
      <c r="K25" s="1342"/>
      <c r="L25" s="1342"/>
      <c r="M25" s="871"/>
      <c r="N25" s="871"/>
      <c r="O25" s="871"/>
      <c r="P25" s="871"/>
      <c r="Q25" s="872"/>
      <c r="R25" s="871"/>
      <c r="S25" s="871"/>
    </row>
    <row r="26" spans="1:19" s="25" customFormat="1" ht="33" customHeight="1" x14ac:dyDescent="0.25">
      <c r="A26" s="1262"/>
      <c r="B26" s="1263"/>
      <c r="C26" s="1263"/>
      <c r="D26" s="1263"/>
      <c r="E26" s="1264"/>
      <c r="F26" s="16">
        <v>17</v>
      </c>
      <c r="G26" s="1341"/>
      <c r="H26" s="1341"/>
      <c r="I26" s="1343"/>
      <c r="J26" s="1343"/>
      <c r="K26" s="1343"/>
      <c r="L26" s="1343"/>
      <c r="M26" s="871"/>
      <c r="N26" s="871"/>
      <c r="O26" s="871"/>
      <c r="P26" s="871"/>
      <c r="Q26" s="872"/>
      <c r="R26" s="871"/>
      <c r="S26" s="871"/>
    </row>
    <row r="27" spans="1:19" s="23" customFormat="1" ht="24.75" customHeight="1" x14ac:dyDescent="0.25">
      <c r="A27" s="36">
        <v>2</v>
      </c>
      <c r="B27" s="1277" t="s">
        <v>74</v>
      </c>
      <c r="C27" s="1277"/>
      <c r="D27" s="1277"/>
      <c r="E27" s="1277"/>
      <c r="F27" s="1277"/>
      <c r="G27" s="1277"/>
      <c r="H27" s="1277"/>
      <c r="I27" s="1277"/>
      <c r="J27" s="1277"/>
      <c r="K27" s="1277"/>
      <c r="L27" s="1277"/>
      <c r="M27" s="1277"/>
      <c r="N27" s="1277"/>
      <c r="O27" s="1277"/>
      <c r="P27" s="1277"/>
      <c r="Q27" s="15">
        <f>SUM(Q28:Q78)</f>
        <v>0</v>
      </c>
      <c r="R27" s="1290"/>
      <c r="S27" s="1290"/>
    </row>
    <row r="28" spans="1:19" ht="56.25" customHeight="1" x14ac:dyDescent="0.25">
      <c r="A28" s="1334" t="s">
        <v>75</v>
      </c>
      <c r="B28" s="1335"/>
      <c r="C28" s="1335"/>
      <c r="D28" s="1335"/>
      <c r="E28" s="1336"/>
      <c r="F28" s="16">
        <v>1</v>
      </c>
      <c r="G28" s="1249" t="str">
        <f>'APBDES 2025'!D38</f>
        <v>Penyelanggaraan PAUD.TPA/TKA/TPQ/Madrasah Non Formal Milik Desa (Honor, Pakaian, dll)</v>
      </c>
      <c r="H28" s="1250"/>
      <c r="I28" s="1267"/>
      <c r="J28" s="1268"/>
      <c r="K28" s="1245"/>
      <c r="L28" s="1246"/>
      <c r="M28" s="17"/>
      <c r="N28" s="17"/>
      <c r="O28" s="17"/>
      <c r="P28" s="17"/>
      <c r="Q28" s="13"/>
      <c r="R28" s="24" t="s">
        <v>139</v>
      </c>
      <c r="S28" s="17" t="s">
        <v>140</v>
      </c>
    </row>
    <row r="29" spans="1:19" ht="45" customHeight="1" x14ac:dyDescent="0.25">
      <c r="A29" s="1334"/>
      <c r="B29" s="1335"/>
      <c r="C29" s="1335"/>
      <c r="D29" s="1335"/>
      <c r="E29" s="1336"/>
      <c r="F29" s="21">
        <v>2</v>
      </c>
      <c r="G29" s="1249" t="str">
        <f>'APBDES 2025'!D39</f>
        <v>Penyelenggaraan Posyandu (PMT, Kelas Ibu Hamil, Lansia, Insentif)</v>
      </c>
      <c r="H29" s="1250"/>
      <c r="I29" s="1257"/>
      <c r="J29" s="1246"/>
      <c r="K29" s="1245"/>
      <c r="L29" s="1246"/>
      <c r="M29" s="22"/>
      <c r="N29" s="22"/>
      <c r="O29" s="22"/>
      <c r="P29" s="22"/>
      <c r="Q29" s="13"/>
      <c r="R29" s="24" t="s">
        <v>139</v>
      </c>
      <c r="S29" s="17" t="s">
        <v>140</v>
      </c>
    </row>
    <row r="30" spans="1:19" ht="45" customHeight="1" x14ac:dyDescent="0.25">
      <c r="A30" s="1334"/>
      <c r="B30" s="1335"/>
      <c r="C30" s="1335"/>
      <c r="D30" s="1335"/>
      <c r="E30" s="1336"/>
      <c r="F30" s="21">
        <v>3</v>
      </c>
      <c r="G30" s="1249" t="str">
        <f>'APBDES 2025'!D40</f>
        <v xml:space="preserve">Sarana Prasarana Pos Kesehatan Desa </v>
      </c>
      <c r="H30" s="1250"/>
      <c r="I30" s="1257"/>
      <c r="J30" s="1258"/>
      <c r="K30" s="1245"/>
      <c r="L30" s="1246"/>
      <c r="M30" s="22"/>
      <c r="N30" s="22"/>
      <c r="O30" s="22"/>
      <c r="P30" s="17"/>
      <c r="Q30" s="13"/>
      <c r="R30" s="24" t="s">
        <v>139</v>
      </c>
      <c r="S30" s="17" t="s">
        <v>140</v>
      </c>
    </row>
    <row r="31" spans="1:19" ht="45" customHeight="1" x14ac:dyDescent="0.25">
      <c r="A31" s="1334"/>
      <c r="B31" s="1335"/>
      <c r="C31" s="1335"/>
      <c r="D31" s="1335"/>
      <c r="E31" s="1336"/>
      <c r="F31" s="21">
        <v>4</v>
      </c>
      <c r="G31" s="1249" t="str">
        <f>'APBDES 2025'!D41</f>
        <v>Pembangunan Drainase RT 002 RW 001</v>
      </c>
      <c r="H31" s="1250"/>
      <c r="I31" s="409"/>
      <c r="J31" s="410"/>
      <c r="K31" s="407"/>
      <c r="L31" s="408"/>
      <c r="M31" s="22"/>
      <c r="N31" s="22"/>
      <c r="O31" s="22"/>
      <c r="P31" s="17"/>
      <c r="Q31" s="13"/>
      <c r="R31" s="24"/>
      <c r="S31" s="17"/>
    </row>
    <row r="32" spans="1:19" ht="45" customHeight="1" x14ac:dyDescent="0.25">
      <c r="A32" s="1334"/>
      <c r="B32" s="1335"/>
      <c r="C32" s="1335"/>
      <c r="D32" s="1335"/>
      <c r="E32" s="1336"/>
      <c r="F32" s="21">
        <v>5</v>
      </c>
      <c r="G32" s="1249" t="str">
        <f>'APBDES 2025'!D42</f>
        <v>Pembangunan Jalan Hotmix RT 011 RW 002</v>
      </c>
      <c r="H32" s="1250"/>
      <c r="I32" s="409"/>
      <c r="J32" s="410"/>
      <c r="K32" s="407"/>
      <c r="L32" s="408"/>
      <c r="M32" s="22"/>
      <c r="N32" s="22"/>
      <c r="O32" s="22"/>
      <c r="P32" s="17"/>
      <c r="Q32" s="13"/>
      <c r="R32" s="24"/>
      <c r="S32" s="17"/>
    </row>
    <row r="33" spans="1:24" ht="45" customHeight="1" x14ac:dyDescent="0.25">
      <c r="A33" s="1334"/>
      <c r="B33" s="1335"/>
      <c r="C33" s="1335"/>
      <c r="D33" s="1335"/>
      <c r="E33" s="1336"/>
      <c r="F33" s="21">
        <v>6</v>
      </c>
      <c r="G33" s="1249" t="str">
        <f>'APBDES 2025'!D43</f>
        <v>Pembangunan Drainase RT 015 RW 003</v>
      </c>
      <c r="H33" s="1250"/>
      <c r="I33" s="409"/>
      <c r="J33" s="410"/>
      <c r="K33" s="407"/>
      <c r="L33" s="408"/>
      <c r="M33" s="22"/>
      <c r="N33" s="22"/>
      <c r="O33" s="22"/>
      <c r="P33" s="17"/>
      <c r="Q33" s="13"/>
      <c r="R33" s="24"/>
      <c r="S33" s="17"/>
    </row>
    <row r="34" spans="1:24" ht="45" customHeight="1" x14ac:dyDescent="0.25">
      <c r="A34" s="1334"/>
      <c r="B34" s="1335"/>
      <c r="C34" s="1335"/>
      <c r="D34" s="1335"/>
      <c r="E34" s="1336"/>
      <c r="F34" s="21">
        <v>7</v>
      </c>
      <c r="G34" s="1249" t="str">
        <f>'APBDES 2025'!D44</f>
        <v>Pembangunan Drainase/Gorong-Gorong RT 017 RW 004</v>
      </c>
      <c r="H34" s="1250"/>
      <c r="I34" s="409"/>
      <c r="J34" s="410"/>
      <c r="K34" s="407"/>
      <c r="L34" s="408"/>
      <c r="M34" s="22"/>
      <c r="N34" s="22"/>
      <c r="O34" s="22"/>
      <c r="P34" s="17"/>
      <c r="Q34" s="13"/>
      <c r="R34" s="24"/>
      <c r="S34" s="17"/>
    </row>
    <row r="35" spans="1:24" ht="45" customHeight="1" x14ac:dyDescent="0.25">
      <c r="A35" s="1334"/>
      <c r="B35" s="1335"/>
      <c r="C35" s="1335"/>
      <c r="D35" s="1335"/>
      <c r="E35" s="1336"/>
      <c r="F35" s="21">
        <v>8</v>
      </c>
      <c r="G35" s="1249" t="str">
        <f>'APBDES 2025'!D45</f>
        <v>Pembangunan Gorong-Gorong dan Pavingisasi gg Sekolahan RW 005</v>
      </c>
      <c r="H35" s="1250"/>
      <c r="I35" s="409"/>
      <c r="J35" s="410"/>
      <c r="K35" s="407"/>
      <c r="L35" s="408"/>
      <c r="M35" s="22"/>
      <c r="N35" s="22"/>
      <c r="O35" s="22"/>
      <c r="P35" s="17"/>
      <c r="Q35" s="13"/>
      <c r="R35" s="24"/>
      <c r="S35" s="17"/>
    </row>
    <row r="36" spans="1:24" ht="45" customHeight="1" x14ac:dyDescent="0.25">
      <c r="A36" s="1334"/>
      <c r="B36" s="1335"/>
      <c r="C36" s="1335"/>
      <c r="D36" s="1335"/>
      <c r="E36" s="1336"/>
      <c r="F36" s="21">
        <v>9</v>
      </c>
      <c r="G36" s="1249" t="str">
        <f>'APBDES 2025'!D46</f>
        <v>Pembangunan Drainase RT 026 RW 006</v>
      </c>
      <c r="H36" s="1250"/>
      <c r="I36" s="1257"/>
      <c r="J36" s="1258"/>
      <c r="K36" s="1245"/>
      <c r="L36" s="1246"/>
      <c r="M36" s="22"/>
      <c r="N36" s="24"/>
      <c r="O36" s="24"/>
      <c r="P36" s="22"/>
      <c r="Q36" s="28"/>
      <c r="R36" s="24" t="s">
        <v>139</v>
      </c>
      <c r="S36" s="17" t="s">
        <v>140</v>
      </c>
    </row>
    <row r="37" spans="1:24" ht="48.75" customHeight="1" x14ac:dyDescent="0.25">
      <c r="A37" s="1334"/>
      <c r="B37" s="1335"/>
      <c r="C37" s="1335"/>
      <c r="D37" s="1335"/>
      <c r="E37" s="1336"/>
      <c r="F37" s="21">
        <v>10</v>
      </c>
      <c r="G37" s="1249" t="str">
        <f>'APBDES 2025'!D47</f>
        <v>Pelaksanaan Kegiatan PKTD</v>
      </c>
      <c r="H37" s="1250"/>
      <c r="I37" s="1257"/>
      <c r="J37" s="1258"/>
      <c r="K37" s="1245"/>
      <c r="L37" s="1246"/>
      <c r="M37" s="22"/>
      <c r="N37" s="22"/>
      <c r="O37" s="22"/>
      <c r="P37" s="17"/>
      <c r="Q37" s="13"/>
      <c r="R37" s="24" t="s">
        <v>139</v>
      </c>
      <c r="S37" s="17" t="s">
        <v>140</v>
      </c>
    </row>
    <row r="38" spans="1:24" ht="46.5" customHeight="1" x14ac:dyDescent="0.25">
      <c r="A38" s="1334"/>
      <c r="B38" s="1335"/>
      <c r="C38" s="1335"/>
      <c r="D38" s="1335"/>
      <c r="E38" s="1336"/>
      <c r="F38" s="21">
        <v>11</v>
      </c>
      <c r="G38" s="1249" t="str">
        <f>'APBDES 2025'!D48</f>
        <v>Pembangunan Jalan Paving RT 033 RW 007</v>
      </c>
      <c r="H38" s="1250"/>
      <c r="I38" s="1257"/>
      <c r="J38" s="1258"/>
      <c r="K38" s="1245"/>
      <c r="L38" s="1246"/>
      <c r="M38" s="22"/>
      <c r="N38" s="24"/>
      <c r="O38" s="24"/>
      <c r="P38" s="22"/>
      <c r="Q38" s="28"/>
      <c r="R38" s="24" t="s">
        <v>139</v>
      </c>
      <c r="S38" s="17" t="s">
        <v>140</v>
      </c>
    </row>
    <row r="39" spans="1:24" ht="46.5" customHeight="1" x14ac:dyDescent="0.25">
      <c r="A39" s="1334"/>
      <c r="B39" s="1335"/>
      <c r="C39" s="1335"/>
      <c r="D39" s="1335"/>
      <c r="E39" s="1336"/>
      <c r="F39" s="21"/>
      <c r="G39" s="1346" t="s">
        <v>910</v>
      </c>
      <c r="H39" s="1347"/>
      <c r="I39" s="1257"/>
      <c r="J39" s="1258"/>
      <c r="K39" s="1245"/>
      <c r="L39" s="1246"/>
      <c r="M39" s="22"/>
      <c r="N39" s="24"/>
      <c r="O39" s="24"/>
      <c r="P39" s="17"/>
      <c r="Q39" s="28"/>
      <c r="R39" s="24"/>
      <c r="S39" s="17"/>
      <c r="X39" s="877"/>
    </row>
    <row r="40" spans="1:24" ht="46.5" customHeight="1" x14ac:dyDescent="0.25">
      <c r="A40" s="1334"/>
      <c r="B40" s="1335"/>
      <c r="C40" s="1335"/>
      <c r="D40" s="1335"/>
      <c r="E40" s="1336"/>
      <c r="F40" s="21"/>
      <c r="G40" s="880" t="s">
        <v>911</v>
      </c>
      <c r="H40" s="878"/>
      <c r="I40" s="1257"/>
      <c r="J40" s="1258"/>
      <c r="K40" s="1245"/>
      <c r="L40" s="1246"/>
      <c r="M40" s="22"/>
      <c r="N40" s="24"/>
      <c r="O40" s="24"/>
      <c r="P40" s="17"/>
      <c r="Q40" s="28"/>
      <c r="R40" s="24"/>
      <c r="S40" s="17"/>
    </row>
    <row r="41" spans="1:24" ht="46.5" customHeight="1" x14ac:dyDescent="0.25">
      <c r="A41" s="1334"/>
      <c r="B41" s="1335"/>
      <c r="C41" s="1335"/>
      <c r="D41" s="1335"/>
      <c r="E41" s="1336"/>
      <c r="F41" s="21"/>
      <c r="G41" s="880" t="s">
        <v>912</v>
      </c>
      <c r="H41" s="878"/>
      <c r="I41" s="1257"/>
      <c r="J41" s="1258"/>
      <c r="K41" s="1245"/>
      <c r="L41" s="1246"/>
      <c r="M41" s="22"/>
      <c r="N41" s="24"/>
      <c r="O41" s="24"/>
      <c r="P41" s="17"/>
      <c r="Q41" s="28"/>
      <c r="R41" s="24"/>
      <c r="S41" s="17"/>
    </row>
    <row r="42" spans="1:24" ht="46.5" customHeight="1" x14ac:dyDescent="0.25">
      <c r="A42" s="1334"/>
      <c r="B42" s="1335"/>
      <c r="C42" s="1335"/>
      <c r="D42" s="1335"/>
      <c r="E42" s="1336"/>
      <c r="F42" s="21"/>
      <c r="G42" s="880" t="s">
        <v>913</v>
      </c>
      <c r="H42" s="878"/>
      <c r="I42" s="1257"/>
      <c r="J42" s="1258"/>
      <c r="K42" s="1245"/>
      <c r="L42" s="1246"/>
      <c r="M42" s="22"/>
      <c r="N42" s="24"/>
      <c r="O42" s="24"/>
      <c r="P42" s="17"/>
      <c r="Q42" s="28"/>
      <c r="R42" s="24"/>
      <c r="S42" s="17"/>
    </row>
    <row r="43" spans="1:24" ht="46.5" customHeight="1" x14ac:dyDescent="0.25">
      <c r="A43" s="1334"/>
      <c r="B43" s="1335"/>
      <c r="C43" s="1335"/>
      <c r="D43" s="1335"/>
      <c r="E43" s="1336"/>
      <c r="F43" s="21"/>
      <c r="G43" s="880" t="s">
        <v>914</v>
      </c>
      <c r="H43" s="878"/>
      <c r="I43" s="1257"/>
      <c r="J43" s="1258"/>
      <c r="K43" s="1245"/>
      <c r="L43" s="1246"/>
      <c r="M43" s="22"/>
      <c r="N43" s="24"/>
      <c r="O43" s="24"/>
      <c r="P43" s="17"/>
      <c r="Q43" s="28"/>
      <c r="R43" s="24"/>
      <c r="S43" s="17"/>
    </row>
    <row r="44" spans="1:24" ht="46.5" customHeight="1" x14ac:dyDescent="0.25">
      <c r="A44" s="1334"/>
      <c r="B44" s="1335"/>
      <c r="C44" s="1335"/>
      <c r="D44" s="1335"/>
      <c r="E44" s="1336"/>
      <c r="F44" s="21"/>
      <c r="G44" s="880" t="s">
        <v>915</v>
      </c>
      <c r="H44" s="878"/>
      <c r="I44" s="1257"/>
      <c r="J44" s="1258"/>
      <c r="K44" s="1245"/>
      <c r="L44" s="1246"/>
      <c r="M44" s="22"/>
      <c r="N44" s="24"/>
      <c r="O44" s="24"/>
      <c r="P44" s="17"/>
      <c r="Q44" s="28"/>
      <c r="R44" s="24"/>
      <c r="S44" s="17"/>
    </row>
    <row r="45" spans="1:24" ht="46.5" customHeight="1" x14ac:dyDescent="0.25">
      <c r="A45" s="1334"/>
      <c r="B45" s="1335"/>
      <c r="C45" s="1335"/>
      <c r="D45" s="1335"/>
      <c r="E45" s="1336"/>
      <c r="F45" s="21"/>
      <c r="G45" s="880" t="s">
        <v>916</v>
      </c>
      <c r="H45" s="878"/>
      <c r="I45" s="1257"/>
      <c r="J45" s="1258"/>
      <c r="K45" s="1245"/>
      <c r="L45" s="1246"/>
      <c r="M45" s="22"/>
      <c r="N45" s="24"/>
      <c r="O45" s="24"/>
      <c r="P45" s="17"/>
      <c r="Q45" s="28"/>
      <c r="R45" s="24"/>
      <c r="S45" s="17"/>
    </row>
    <row r="46" spans="1:24" ht="46.5" customHeight="1" x14ac:dyDescent="0.25">
      <c r="A46" s="1334"/>
      <c r="B46" s="1335"/>
      <c r="C46" s="1335"/>
      <c r="D46" s="1335"/>
      <c r="E46" s="1336"/>
      <c r="F46" s="21"/>
      <c r="G46" s="880" t="s">
        <v>971</v>
      </c>
      <c r="H46" s="878"/>
      <c r="I46" s="1257"/>
      <c r="J46" s="1258"/>
      <c r="K46" s="1245"/>
      <c r="L46" s="1246"/>
      <c r="M46" s="22"/>
      <c r="N46" s="24"/>
      <c r="O46" s="24"/>
      <c r="P46" s="17"/>
      <c r="Q46" s="28"/>
      <c r="R46" s="24"/>
      <c r="S46" s="17"/>
    </row>
    <row r="47" spans="1:24" ht="46.5" customHeight="1" x14ac:dyDescent="0.25">
      <c r="A47" s="1334"/>
      <c r="B47" s="1335"/>
      <c r="C47" s="1335"/>
      <c r="D47" s="1335"/>
      <c r="E47" s="1336"/>
      <c r="F47" s="21"/>
      <c r="G47" s="879" t="s">
        <v>928</v>
      </c>
      <c r="H47" s="878"/>
      <c r="I47" s="1257"/>
      <c r="J47" s="1258"/>
      <c r="K47" s="1245"/>
      <c r="L47" s="1246"/>
      <c r="M47" s="22"/>
      <c r="N47" s="24"/>
      <c r="O47" s="24"/>
      <c r="P47" s="17"/>
      <c r="Q47" s="28"/>
      <c r="R47" s="24"/>
      <c r="S47" s="17"/>
    </row>
    <row r="48" spans="1:24" ht="46.5" customHeight="1" x14ac:dyDescent="0.25">
      <c r="A48" s="1334"/>
      <c r="B48" s="1335"/>
      <c r="C48" s="1335"/>
      <c r="D48" s="1335"/>
      <c r="E48" s="1336"/>
      <c r="F48" s="21"/>
      <c r="G48" s="879" t="s">
        <v>929</v>
      </c>
      <c r="H48" s="878"/>
      <c r="I48" s="1257"/>
      <c r="J48" s="1258"/>
      <c r="K48" s="1245"/>
      <c r="L48" s="1246"/>
      <c r="M48" s="22"/>
      <c r="N48" s="24"/>
      <c r="O48" s="24"/>
      <c r="P48" s="17"/>
      <c r="Q48" s="28"/>
      <c r="R48" s="24"/>
      <c r="S48" s="17"/>
    </row>
    <row r="49" spans="1:19" ht="46.5" customHeight="1" x14ac:dyDescent="0.25">
      <c r="A49" s="1334"/>
      <c r="B49" s="1335"/>
      <c r="C49" s="1335"/>
      <c r="D49" s="1335"/>
      <c r="E49" s="1336"/>
      <c r="F49" s="21"/>
      <c r="G49" s="879" t="s">
        <v>930</v>
      </c>
      <c r="H49" s="878"/>
      <c r="I49" s="1257"/>
      <c r="J49" s="1258"/>
      <c r="K49" s="1245"/>
      <c r="L49" s="1246"/>
      <c r="M49" s="22"/>
      <c r="N49" s="24"/>
      <c r="O49" s="24"/>
      <c r="P49" s="17"/>
      <c r="Q49" s="28"/>
      <c r="R49" s="24"/>
      <c r="S49" s="17"/>
    </row>
    <row r="50" spans="1:19" ht="46.5" customHeight="1" x14ac:dyDescent="0.25">
      <c r="A50" s="1334"/>
      <c r="B50" s="1335"/>
      <c r="C50" s="1335"/>
      <c r="D50" s="1335"/>
      <c r="E50" s="1336"/>
      <c r="F50" s="21"/>
      <c r="G50" s="879" t="s">
        <v>931</v>
      </c>
      <c r="H50" s="878"/>
      <c r="I50" s="1257"/>
      <c r="J50" s="1258"/>
      <c r="K50" s="1245"/>
      <c r="L50" s="1246"/>
      <c r="M50" s="22"/>
      <c r="N50" s="24"/>
      <c r="O50" s="24"/>
      <c r="P50" s="17"/>
      <c r="Q50" s="28"/>
      <c r="R50" s="24"/>
      <c r="S50" s="17"/>
    </row>
    <row r="51" spans="1:19" ht="46.5" customHeight="1" x14ac:dyDescent="0.25">
      <c r="A51" s="1334"/>
      <c r="B51" s="1335"/>
      <c r="C51" s="1335"/>
      <c r="D51" s="1335"/>
      <c r="E51" s="1336"/>
      <c r="F51" s="21"/>
      <c r="G51" s="879" t="s">
        <v>932</v>
      </c>
      <c r="H51" s="878"/>
      <c r="I51" s="1257"/>
      <c r="J51" s="1258"/>
      <c r="K51" s="1245"/>
      <c r="L51" s="1246"/>
      <c r="M51" s="22"/>
      <c r="N51" s="24"/>
      <c r="O51" s="24"/>
      <c r="P51" s="17"/>
      <c r="Q51" s="28"/>
      <c r="R51" s="24"/>
      <c r="S51" s="17"/>
    </row>
    <row r="52" spans="1:19" ht="46.5" customHeight="1" x14ac:dyDescent="0.25">
      <c r="A52" s="1334"/>
      <c r="B52" s="1335"/>
      <c r="C52" s="1335"/>
      <c r="D52" s="1335"/>
      <c r="E52" s="1336"/>
      <c r="F52" s="21"/>
      <c r="G52" s="879" t="s">
        <v>933</v>
      </c>
      <c r="H52" s="878"/>
      <c r="I52" s="1257"/>
      <c r="J52" s="1258"/>
      <c r="K52" s="1245"/>
      <c r="L52" s="1246"/>
      <c r="M52" s="22"/>
      <c r="N52" s="24"/>
      <c r="O52" s="24"/>
      <c r="P52" s="17"/>
      <c r="Q52" s="28"/>
      <c r="R52" s="24"/>
      <c r="S52" s="17"/>
    </row>
    <row r="53" spans="1:19" ht="46.5" customHeight="1" x14ac:dyDescent="0.25">
      <c r="A53" s="1334"/>
      <c r="B53" s="1335"/>
      <c r="C53" s="1335"/>
      <c r="D53" s="1335"/>
      <c r="E53" s="1336"/>
      <c r="F53" s="21"/>
      <c r="G53" s="879" t="s">
        <v>934</v>
      </c>
      <c r="H53" s="878"/>
      <c r="I53" s="409"/>
      <c r="J53" s="410"/>
      <c r="K53" s="407"/>
      <c r="L53" s="408"/>
      <c r="M53" s="22"/>
      <c r="N53" s="24"/>
      <c r="O53" s="24"/>
      <c r="P53" s="17"/>
      <c r="Q53" s="28"/>
      <c r="R53" s="24"/>
      <c r="S53" s="17"/>
    </row>
    <row r="54" spans="1:19" ht="46.5" customHeight="1" x14ac:dyDescent="0.25">
      <c r="A54" s="1334"/>
      <c r="B54" s="1335"/>
      <c r="C54" s="1335"/>
      <c r="D54" s="1335"/>
      <c r="E54" s="1336"/>
      <c r="F54" s="21"/>
      <c r="G54" s="879" t="s">
        <v>935</v>
      </c>
      <c r="H54" s="878"/>
      <c r="I54" s="409"/>
      <c r="J54" s="410"/>
      <c r="K54" s="407"/>
      <c r="L54" s="408"/>
      <c r="M54" s="22"/>
      <c r="N54" s="24"/>
      <c r="O54" s="24"/>
      <c r="P54" s="17"/>
      <c r="Q54" s="28"/>
      <c r="R54" s="24"/>
      <c r="S54" s="17"/>
    </row>
    <row r="55" spans="1:19" ht="46.5" customHeight="1" x14ac:dyDescent="0.25">
      <c r="A55" s="1334"/>
      <c r="B55" s="1335"/>
      <c r="C55" s="1335"/>
      <c r="D55" s="1335"/>
      <c r="E55" s="1336"/>
      <c r="F55" s="21"/>
      <c r="G55" s="879" t="s">
        <v>936</v>
      </c>
      <c r="H55" s="878"/>
      <c r="I55" s="409"/>
      <c r="J55" s="410"/>
      <c r="K55" s="407"/>
      <c r="L55" s="408"/>
      <c r="M55" s="22"/>
      <c r="N55" s="24"/>
      <c r="O55" s="24"/>
      <c r="P55" s="17"/>
      <c r="Q55" s="28"/>
      <c r="R55" s="24"/>
      <c r="S55" s="17"/>
    </row>
    <row r="56" spans="1:19" ht="46.5" customHeight="1" x14ac:dyDescent="0.25">
      <c r="A56" s="1334"/>
      <c r="B56" s="1335"/>
      <c r="C56" s="1335"/>
      <c r="D56" s="1335"/>
      <c r="E56" s="1336"/>
      <c r="F56" s="21"/>
      <c r="G56" s="879" t="s">
        <v>937</v>
      </c>
      <c r="H56" s="878"/>
      <c r="I56" s="409"/>
      <c r="J56" s="410"/>
      <c r="K56" s="407"/>
      <c r="L56" s="408"/>
      <c r="M56" s="22"/>
      <c r="N56" s="24"/>
      <c r="O56" s="24"/>
      <c r="P56" s="17"/>
      <c r="Q56" s="28"/>
      <c r="R56" s="24"/>
      <c r="S56" s="17"/>
    </row>
    <row r="57" spans="1:19" ht="46.5" customHeight="1" x14ac:dyDescent="0.25">
      <c r="A57" s="1334"/>
      <c r="B57" s="1335"/>
      <c r="C57" s="1335"/>
      <c r="D57" s="1335"/>
      <c r="E57" s="1336"/>
      <c r="F57" s="21"/>
      <c r="G57" s="879" t="s">
        <v>938</v>
      </c>
      <c r="H57" s="878"/>
      <c r="I57" s="409"/>
      <c r="J57" s="410"/>
      <c r="K57" s="407"/>
      <c r="L57" s="408"/>
      <c r="M57" s="22"/>
      <c r="N57" s="24"/>
      <c r="O57" s="24"/>
      <c r="P57" s="17"/>
      <c r="Q57" s="28"/>
      <c r="R57" s="24"/>
      <c r="S57" s="17"/>
    </row>
    <row r="58" spans="1:19" ht="46.5" customHeight="1" x14ac:dyDescent="0.25">
      <c r="A58" s="1334"/>
      <c r="B58" s="1335"/>
      <c r="C58" s="1335"/>
      <c r="D58" s="1335"/>
      <c r="E58" s="1336"/>
      <c r="F58" s="21"/>
      <c r="G58" s="879" t="s">
        <v>939</v>
      </c>
      <c r="H58" s="878"/>
      <c r="I58" s="409"/>
      <c r="J58" s="410"/>
      <c r="K58" s="407"/>
      <c r="L58" s="408"/>
      <c r="M58" s="22"/>
      <c r="N58" s="24"/>
      <c r="O58" s="24"/>
      <c r="P58" s="17"/>
      <c r="Q58" s="28"/>
      <c r="R58" s="24"/>
      <c r="S58" s="17"/>
    </row>
    <row r="59" spans="1:19" ht="46.5" customHeight="1" x14ac:dyDescent="0.25">
      <c r="A59" s="1334"/>
      <c r="B59" s="1335"/>
      <c r="C59" s="1335"/>
      <c r="D59" s="1335"/>
      <c r="E59" s="1336"/>
      <c r="F59" s="21"/>
      <c r="G59" s="883" t="s">
        <v>917</v>
      </c>
      <c r="H59" s="878"/>
      <c r="I59" s="409"/>
      <c r="J59" s="410"/>
      <c r="K59" s="407"/>
      <c r="L59" s="408"/>
      <c r="M59" s="22"/>
      <c r="N59" s="24"/>
      <c r="O59" s="24"/>
      <c r="P59" s="17"/>
      <c r="Q59" s="28"/>
      <c r="R59" s="24"/>
      <c r="S59" s="17"/>
    </row>
    <row r="60" spans="1:19" ht="46.5" customHeight="1" x14ac:dyDescent="0.25">
      <c r="A60" s="1334"/>
      <c r="B60" s="1335"/>
      <c r="C60" s="1335"/>
      <c r="D60" s="1335"/>
      <c r="E60" s="1336"/>
      <c r="F60" s="21"/>
      <c r="G60" s="879" t="s">
        <v>940</v>
      </c>
      <c r="H60" s="878"/>
      <c r="I60" s="409"/>
      <c r="J60" s="410"/>
      <c r="K60" s="407"/>
      <c r="L60" s="408"/>
      <c r="M60" s="22"/>
      <c r="N60" s="24"/>
      <c r="O60" s="24"/>
      <c r="P60" s="17"/>
      <c r="Q60" s="28"/>
      <c r="R60" s="24"/>
      <c r="S60" s="17"/>
    </row>
    <row r="61" spans="1:19" ht="46.5" customHeight="1" x14ac:dyDescent="0.25">
      <c r="A61" s="1334"/>
      <c r="B61" s="1335"/>
      <c r="C61" s="1335"/>
      <c r="D61" s="1335"/>
      <c r="E61" s="1336"/>
      <c r="F61" s="21"/>
      <c r="G61" s="879" t="s">
        <v>941</v>
      </c>
      <c r="H61" s="878"/>
      <c r="I61" s="409"/>
      <c r="J61" s="410"/>
      <c r="K61" s="407"/>
      <c r="L61" s="408"/>
      <c r="M61" s="22"/>
      <c r="N61" s="24"/>
      <c r="O61" s="24"/>
      <c r="P61" s="17"/>
      <c r="Q61" s="28"/>
      <c r="R61" s="24"/>
      <c r="S61" s="17"/>
    </row>
    <row r="62" spans="1:19" ht="46.5" customHeight="1" x14ac:dyDescent="0.25">
      <c r="A62" s="1334"/>
      <c r="B62" s="1335"/>
      <c r="C62" s="1335"/>
      <c r="D62" s="1335"/>
      <c r="E62" s="1336"/>
      <c r="F62" s="21"/>
      <c r="G62" s="883" t="s">
        <v>918</v>
      </c>
      <c r="H62" s="878"/>
      <c r="I62" s="409"/>
      <c r="J62" s="410"/>
      <c r="K62" s="407"/>
      <c r="L62" s="408"/>
      <c r="M62" s="22"/>
      <c r="N62" s="24"/>
      <c r="O62" s="24"/>
      <c r="P62" s="17"/>
      <c r="Q62" s="28"/>
      <c r="R62" s="24"/>
      <c r="S62" s="17"/>
    </row>
    <row r="63" spans="1:19" ht="46.5" customHeight="1" x14ac:dyDescent="0.25">
      <c r="A63" s="1334"/>
      <c r="B63" s="1335"/>
      <c r="C63" s="1335"/>
      <c r="D63" s="1335"/>
      <c r="E63" s="1336"/>
      <c r="F63" s="21"/>
      <c r="G63" s="879" t="s">
        <v>942</v>
      </c>
      <c r="H63" s="878"/>
      <c r="I63" s="409"/>
      <c r="J63" s="410"/>
      <c r="K63" s="407"/>
      <c r="L63" s="408"/>
      <c r="M63" s="22"/>
      <c r="N63" s="24"/>
      <c r="O63" s="24"/>
      <c r="P63" s="17"/>
      <c r="Q63" s="28"/>
      <c r="R63" s="24"/>
      <c r="S63" s="17"/>
    </row>
    <row r="64" spans="1:19" ht="46.5" customHeight="1" x14ac:dyDescent="0.25">
      <c r="A64" s="1334"/>
      <c r="B64" s="1335"/>
      <c r="C64" s="1335"/>
      <c r="D64" s="1335"/>
      <c r="E64" s="1336"/>
      <c r="F64" s="21"/>
      <c r="G64" s="879" t="s">
        <v>943</v>
      </c>
      <c r="H64" s="878"/>
      <c r="I64" s="409"/>
      <c r="J64" s="410"/>
      <c r="K64" s="407"/>
      <c r="L64" s="408"/>
      <c r="M64" s="22"/>
      <c r="N64" s="24"/>
      <c r="O64" s="24"/>
      <c r="P64" s="17"/>
      <c r="Q64" s="28"/>
      <c r="R64" s="24"/>
      <c r="S64" s="17"/>
    </row>
    <row r="65" spans="1:19" ht="46.5" customHeight="1" x14ac:dyDescent="0.25">
      <c r="A65" s="1334"/>
      <c r="B65" s="1335"/>
      <c r="C65" s="1335"/>
      <c r="D65" s="1335"/>
      <c r="E65" s="1336"/>
      <c r="F65" s="21"/>
      <c r="G65" s="879" t="s">
        <v>944</v>
      </c>
      <c r="H65" s="878"/>
      <c r="I65" s="409"/>
      <c r="J65" s="410"/>
      <c r="K65" s="407"/>
      <c r="L65" s="408"/>
      <c r="M65" s="22"/>
      <c r="N65" s="24"/>
      <c r="O65" s="24"/>
      <c r="P65" s="17"/>
      <c r="Q65" s="28"/>
      <c r="R65" s="24"/>
      <c r="S65" s="17"/>
    </row>
    <row r="66" spans="1:19" ht="46.5" customHeight="1" x14ac:dyDescent="0.25">
      <c r="A66" s="1334"/>
      <c r="B66" s="1335"/>
      <c r="C66" s="1335"/>
      <c r="D66" s="1335"/>
      <c r="E66" s="1336"/>
      <c r="F66" s="21"/>
      <c r="G66" s="879" t="s">
        <v>945</v>
      </c>
      <c r="H66" s="878"/>
      <c r="I66" s="409"/>
      <c r="J66" s="410"/>
      <c r="K66" s="407"/>
      <c r="L66" s="408"/>
      <c r="M66" s="22"/>
      <c r="N66" s="24"/>
      <c r="O66" s="24"/>
      <c r="P66" s="17"/>
      <c r="Q66" s="28"/>
      <c r="R66" s="24"/>
      <c r="S66" s="17"/>
    </row>
    <row r="67" spans="1:19" ht="46.5" customHeight="1" x14ac:dyDescent="0.25">
      <c r="A67" s="1334"/>
      <c r="B67" s="1335"/>
      <c r="C67" s="1335"/>
      <c r="D67" s="1335"/>
      <c r="E67" s="1336"/>
      <c r="F67" s="21"/>
      <c r="G67" s="879" t="s">
        <v>946</v>
      </c>
      <c r="H67" s="878"/>
      <c r="I67" s="1257"/>
      <c r="J67" s="1258"/>
      <c r="K67" s="1245"/>
      <c r="L67" s="1246"/>
      <c r="M67" s="22"/>
      <c r="N67" s="24"/>
      <c r="O67" s="24"/>
      <c r="P67" s="17"/>
      <c r="Q67" s="28"/>
      <c r="R67" s="24"/>
      <c r="S67" s="17"/>
    </row>
    <row r="68" spans="1:19" ht="46.5" customHeight="1" x14ac:dyDescent="0.25">
      <c r="A68" s="1334"/>
      <c r="B68" s="1335"/>
      <c r="C68" s="1335"/>
      <c r="D68" s="1335"/>
      <c r="E68" s="1336"/>
      <c r="F68" s="21"/>
      <c r="G68" s="879" t="s">
        <v>947</v>
      </c>
      <c r="H68" s="878"/>
      <c r="I68" s="1257"/>
      <c r="J68" s="1258"/>
      <c r="K68" s="1245"/>
      <c r="L68" s="1246"/>
      <c r="M68" s="22"/>
      <c r="N68" s="24"/>
      <c r="O68" s="24"/>
      <c r="P68" s="17"/>
      <c r="Q68" s="28"/>
      <c r="R68" s="24"/>
      <c r="S68" s="17"/>
    </row>
    <row r="69" spans="1:19" ht="46.5" customHeight="1" x14ac:dyDescent="0.25">
      <c r="A69" s="1334"/>
      <c r="B69" s="1335"/>
      <c r="C69" s="1335"/>
      <c r="D69" s="1335"/>
      <c r="E69" s="1336"/>
      <c r="F69" s="21"/>
      <c r="G69" s="879" t="s">
        <v>948</v>
      </c>
      <c r="H69" s="878"/>
      <c r="I69" s="1257"/>
      <c r="J69" s="1258"/>
      <c r="K69" s="1245"/>
      <c r="L69" s="1246"/>
      <c r="M69" s="22"/>
      <c r="N69" s="24"/>
      <c r="O69" s="24"/>
      <c r="P69" s="17"/>
      <c r="Q69" s="28"/>
      <c r="R69" s="24"/>
      <c r="S69" s="17"/>
    </row>
    <row r="70" spans="1:19" ht="46.5" customHeight="1" x14ac:dyDescent="0.25">
      <c r="A70" s="1334"/>
      <c r="B70" s="1335"/>
      <c r="C70" s="1335"/>
      <c r="D70" s="1335"/>
      <c r="E70" s="1336"/>
      <c r="F70" s="21"/>
      <c r="G70" s="879" t="s">
        <v>949</v>
      </c>
      <c r="H70" s="878"/>
      <c r="I70" s="1257"/>
      <c r="J70" s="1258"/>
      <c r="K70" s="1245"/>
      <c r="L70" s="1246"/>
      <c r="M70" s="22"/>
      <c r="N70" s="24"/>
      <c r="O70" s="24"/>
      <c r="P70" s="17"/>
      <c r="Q70" s="28"/>
      <c r="R70" s="24"/>
      <c r="S70" s="17"/>
    </row>
    <row r="71" spans="1:19" ht="46.5" customHeight="1" x14ac:dyDescent="0.25">
      <c r="A71" s="1334"/>
      <c r="B71" s="1335"/>
      <c r="C71" s="1335"/>
      <c r="D71" s="1335"/>
      <c r="E71" s="1336"/>
      <c r="F71" s="21"/>
      <c r="G71" s="879" t="s">
        <v>950</v>
      </c>
      <c r="H71" s="878"/>
      <c r="I71" s="1257"/>
      <c r="J71" s="1258"/>
      <c r="K71" s="1245"/>
      <c r="L71" s="1246"/>
      <c r="M71" s="22"/>
      <c r="N71" s="24"/>
      <c r="O71" s="24"/>
      <c r="P71" s="17"/>
      <c r="Q71" s="28"/>
      <c r="R71" s="24"/>
      <c r="S71" s="17"/>
    </row>
    <row r="72" spans="1:19" ht="46.5" customHeight="1" x14ac:dyDescent="0.25">
      <c r="A72" s="1334"/>
      <c r="B72" s="1335"/>
      <c r="C72" s="1335"/>
      <c r="D72" s="1335"/>
      <c r="E72" s="1336"/>
      <c r="F72" s="21"/>
      <c r="G72" s="879" t="s">
        <v>951</v>
      </c>
      <c r="H72" s="878"/>
      <c r="I72" s="1257"/>
      <c r="J72" s="1258"/>
      <c r="K72" s="1245"/>
      <c r="L72" s="1246"/>
      <c r="M72" s="22"/>
      <c r="N72" s="24"/>
      <c r="O72" s="24"/>
      <c r="P72" s="17"/>
      <c r="Q72" s="28"/>
      <c r="R72" s="24"/>
      <c r="S72" s="17"/>
    </row>
    <row r="73" spans="1:19" ht="46.5" customHeight="1" x14ac:dyDescent="0.25">
      <c r="A73" s="1334"/>
      <c r="B73" s="1335"/>
      <c r="C73" s="1335"/>
      <c r="D73" s="1335"/>
      <c r="E73" s="1336"/>
      <c r="F73" s="21"/>
      <c r="G73" s="879" t="s">
        <v>952</v>
      </c>
      <c r="H73" s="878"/>
      <c r="I73" s="1257"/>
      <c r="J73" s="1258"/>
      <c r="K73" s="1245"/>
      <c r="L73" s="1246"/>
      <c r="M73" s="22"/>
      <c r="N73" s="24"/>
      <c r="O73" s="24"/>
      <c r="P73" s="17"/>
      <c r="Q73" s="28"/>
      <c r="R73" s="24"/>
      <c r="S73" s="17"/>
    </row>
    <row r="74" spans="1:19" ht="46.5" customHeight="1" x14ac:dyDescent="0.25">
      <c r="A74" s="1334"/>
      <c r="B74" s="1335"/>
      <c r="C74" s="1335"/>
      <c r="D74" s="1335"/>
      <c r="E74" s="1336"/>
      <c r="F74" s="21"/>
      <c r="G74" s="879" t="s">
        <v>953</v>
      </c>
      <c r="H74" s="878"/>
      <c r="I74" s="1257"/>
      <c r="J74" s="1258"/>
      <c r="K74" s="1245"/>
      <c r="L74" s="1246"/>
      <c r="M74" s="22"/>
      <c r="N74" s="24"/>
      <c r="O74" s="24"/>
      <c r="P74" s="17"/>
      <c r="Q74" s="28"/>
      <c r="R74" s="24"/>
      <c r="S74" s="17"/>
    </row>
    <row r="75" spans="1:19" ht="46.5" customHeight="1" x14ac:dyDescent="0.25">
      <c r="A75" s="1334"/>
      <c r="B75" s="1335"/>
      <c r="C75" s="1335"/>
      <c r="D75" s="1335"/>
      <c r="E75" s="1336"/>
      <c r="F75" s="21"/>
      <c r="G75" s="879" t="s">
        <v>954</v>
      </c>
      <c r="H75" s="878"/>
      <c r="I75" s="1257"/>
      <c r="J75" s="1258"/>
      <c r="K75" s="1245"/>
      <c r="L75" s="1246"/>
      <c r="M75" s="22"/>
      <c r="N75" s="24"/>
      <c r="O75" s="24"/>
      <c r="P75" s="17"/>
      <c r="Q75" s="28"/>
      <c r="R75" s="24"/>
      <c r="S75" s="17"/>
    </row>
    <row r="76" spans="1:19" ht="46.5" customHeight="1" x14ac:dyDescent="0.25">
      <c r="A76" s="1334"/>
      <c r="B76" s="1335"/>
      <c r="C76" s="1335"/>
      <c r="D76" s="1335"/>
      <c r="E76" s="1336"/>
      <c r="F76" s="21"/>
      <c r="G76" s="879" t="s">
        <v>955</v>
      </c>
      <c r="H76" s="878"/>
      <c r="I76" s="1257"/>
      <c r="J76" s="1258"/>
      <c r="K76" s="1245"/>
      <c r="L76" s="1246"/>
      <c r="M76" s="22"/>
      <c r="N76" s="24"/>
      <c r="O76" s="24"/>
      <c r="P76" s="17"/>
      <c r="Q76" s="28"/>
      <c r="R76" s="24"/>
      <c r="S76" s="17"/>
    </row>
    <row r="77" spans="1:19" ht="46.5" customHeight="1" x14ac:dyDescent="0.25">
      <c r="A77" s="1334"/>
      <c r="B77" s="1335"/>
      <c r="C77" s="1335"/>
      <c r="D77" s="1335"/>
      <c r="E77" s="1336"/>
      <c r="F77" s="21"/>
      <c r="G77" s="879" t="s">
        <v>956</v>
      </c>
      <c r="H77" s="878"/>
      <c r="I77" s="1257"/>
      <c r="J77" s="1258"/>
      <c r="K77" s="1245"/>
      <c r="L77" s="1246"/>
      <c r="M77" s="22"/>
      <c r="N77" s="24"/>
      <c r="O77" s="24"/>
      <c r="P77" s="17"/>
      <c r="Q77" s="28"/>
      <c r="R77" s="24"/>
      <c r="S77" s="17"/>
    </row>
    <row r="78" spans="1:19" ht="40.5" customHeight="1" x14ac:dyDescent="0.25">
      <c r="A78" s="1334"/>
      <c r="B78" s="1335"/>
      <c r="C78" s="1335"/>
      <c r="D78" s="1335"/>
      <c r="E78" s="1336"/>
      <c r="F78" s="21">
        <v>12</v>
      </c>
      <c r="G78" s="879" t="s">
        <v>957</v>
      </c>
      <c r="H78" s="411"/>
      <c r="I78" s="1245"/>
      <c r="J78" s="1246"/>
      <c r="K78" s="1245"/>
      <c r="L78" s="1246"/>
      <c r="M78" s="24"/>
      <c r="N78" s="22"/>
      <c r="O78" s="22"/>
      <c r="P78" s="17"/>
      <c r="Q78" s="28"/>
      <c r="R78" s="24" t="s">
        <v>139</v>
      </c>
      <c r="S78" s="17" t="s">
        <v>140</v>
      </c>
    </row>
    <row r="79" spans="1:19" ht="40.5" customHeight="1" x14ac:dyDescent="0.25">
      <c r="A79" s="1334"/>
      <c r="B79" s="1335"/>
      <c r="C79" s="1335"/>
      <c r="D79" s="1335"/>
      <c r="E79" s="1336"/>
      <c r="F79" s="26"/>
      <c r="G79" s="879" t="s">
        <v>958</v>
      </c>
      <c r="H79" s="411"/>
      <c r="I79" s="407"/>
      <c r="J79" s="408"/>
      <c r="K79" s="407"/>
      <c r="L79" s="408"/>
      <c r="M79" s="27"/>
      <c r="N79" s="12"/>
      <c r="O79" s="12"/>
      <c r="P79" s="876"/>
      <c r="Q79" s="28"/>
      <c r="R79" s="27"/>
      <c r="S79" s="876"/>
    </row>
    <row r="80" spans="1:19" ht="40.5" customHeight="1" x14ac:dyDescent="0.25">
      <c r="A80" s="1334"/>
      <c r="B80" s="1335"/>
      <c r="C80" s="1335"/>
      <c r="D80" s="1335"/>
      <c r="E80" s="1336"/>
      <c r="F80" s="26"/>
      <c r="G80" s="879" t="s">
        <v>959</v>
      </c>
      <c r="H80" s="411"/>
      <c r="I80" s="407"/>
      <c r="J80" s="408"/>
      <c r="K80" s="407"/>
      <c r="L80" s="408"/>
      <c r="M80" s="27"/>
      <c r="N80" s="12"/>
      <c r="O80" s="12"/>
      <c r="P80" s="876"/>
      <c r="Q80" s="28"/>
      <c r="R80" s="27"/>
      <c r="S80" s="876"/>
    </row>
    <row r="81" spans="1:19" ht="40.5" customHeight="1" x14ac:dyDescent="0.25">
      <c r="A81" s="1334"/>
      <c r="B81" s="1335"/>
      <c r="C81" s="1335"/>
      <c r="D81" s="1335"/>
      <c r="E81" s="1336"/>
      <c r="F81" s="26"/>
      <c r="G81" s="879" t="s">
        <v>960</v>
      </c>
      <c r="H81" s="411"/>
      <c r="I81" s="407"/>
      <c r="J81" s="408"/>
      <c r="K81" s="407"/>
      <c r="L81" s="408"/>
      <c r="M81" s="27"/>
      <c r="N81" s="12"/>
      <c r="O81" s="12"/>
      <c r="P81" s="876"/>
      <c r="Q81" s="28"/>
      <c r="R81" s="27"/>
      <c r="S81" s="876"/>
    </row>
    <row r="82" spans="1:19" ht="40.5" customHeight="1" x14ac:dyDescent="0.25">
      <c r="A82" s="1334"/>
      <c r="B82" s="1335"/>
      <c r="C82" s="1335"/>
      <c r="D82" s="1335"/>
      <c r="E82" s="1336"/>
      <c r="F82" s="26"/>
      <c r="G82" s="879" t="s">
        <v>961</v>
      </c>
      <c r="H82" s="411"/>
      <c r="I82" s="407"/>
      <c r="J82" s="408"/>
      <c r="K82" s="407"/>
      <c r="L82" s="408"/>
      <c r="M82" s="27"/>
      <c r="N82" s="12"/>
      <c r="O82" s="12"/>
      <c r="P82" s="876"/>
      <c r="Q82" s="28"/>
      <c r="R82" s="27"/>
      <c r="S82" s="876"/>
    </row>
    <row r="83" spans="1:19" ht="40.5" customHeight="1" x14ac:dyDescent="0.25">
      <c r="A83" s="1334"/>
      <c r="B83" s="1335"/>
      <c r="C83" s="1335"/>
      <c r="D83" s="1335"/>
      <c r="E83" s="1336"/>
      <c r="F83" s="26"/>
      <c r="G83" s="879" t="s">
        <v>962</v>
      </c>
      <c r="H83" s="411"/>
      <c r="I83" s="407"/>
      <c r="J83" s="408"/>
      <c r="K83" s="407"/>
      <c r="L83" s="408"/>
      <c r="M83" s="27"/>
      <c r="N83" s="12"/>
      <c r="O83" s="12"/>
      <c r="P83" s="876"/>
      <c r="Q83" s="28"/>
      <c r="R83" s="27"/>
      <c r="S83" s="876"/>
    </row>
    <row r="84" spans="1:19" ht="40.5" customHeight="1" x14ac:dyDescent="0.25">
      <c r="A84" s="1334"/>
      <c r="B84" s="1335"/>
      <c r="C84" s="1335"/>
      <c r="D84" s="1335"/>
      <c r="E84" s="1336"/>
      <c r="F84" s="26"/>
      <c r="G84" s="879" t="s">
        <v>963</v>
      </c>
      <c r="H84" s="411"/>
      <c r="I84" s="407"/>
      <c r="J84" s="408"/>
      <c r="K84" s="407"/>
      <c r="L84" s="408"/>
      <c r="M84" s="27"/>
      <c r="N84" s="12"/>
      <c r="O84" s="12"/>
      <c r="P84" s="876"/>
      <c r="Q84" s="28"/>
      <c r="R84" s="27"/>
      <c r="S84" s="876"/>
    </row>
    <row r="85" spans="1:19" ht="40.5" customHeight="1" x14ac:dyDescent="0.25">
      <c r="A85" s="1334"/>
      <c r="B85" s="1335"/>
      <c r="C85" s="1335"/>
      <c r="D85" s="1335"/>
      <c r="E85" s="1336"/>
      <c r="F85" s="26"/>
      <c r="G85" s="879" t="s">
        <v>964</v>
      </c>
      <c r="H85" s="411"/>
      <c r="I85" s="407"/>
      <c r="J85" s="408"/>
      <c r="K85" s="407"/>
      <c r="L85" s="408"/>
      <c r="M85" s="27"/>
      <c r="N85" s="12"/>
      <c r="O85" s="12"/>
      <c r="P85" s="876"/>
      <c r="Q85" s="28"/>
      <c r="R85" s="27"/>
      <c r="S85" s="876"/>
    </row>
    <row r="86" spans="1:19" ht="40.5" customHeight="1" x14ac:dyDescent="0.25">
      <c r="A86" s="1334"/>
      <c r="B86" s="1335"/>
      <c r="C86" s="1335"/>
      <c r="D86" s="1335"/>
      <c r="E86" s="1336"/>
      <c r="F86" s="26"/>
      <c r="G86" s="879" t="s">
        <v>965</v>
      </c>
      <c r="H86" s="411"/>
      <c r="I86" s="407"/>
      <c r="J86" s="408"/>
      <c r="K86" s="407"/>
      <c r="L86" s="408"/>
      <c r="M86" s="27"/>
      <c r="N86" s="12"/>
      <c r="O86" s="12"/>
      <c r="P86" s="876"/>
      <c r="Q86" s="28"/>
      <c r="R86" s="27"/>
      <c r="S86" s="876"/>
    </row>
    <row r="87" spans="1:19" ht="40.5" customHeight="1" x14ac:dyDescent="0.25">
      <c r="A87" s="1334"/>
      <c r="B87" s="1335"/>
      <c r="C87" s="1335"/>
      <c r="D87" s="1335"/>
      <c r="E87" s="1336"/>
      <c r="F87" s="26"/>
      <c r="G87" s="879" t="s">
        <v>966</v>
      </c>
      <c r="H87" s="411"/>
      <c r="I87" s="407"/>
      <c r="J87" s="408"/>
      <c r="K87" s="407"/>
      <c r="L87" s="408"/>
      <c r="M87" s="27"/>
      <c r="N87" s="12"/>
      <c r="O87" s="12"/>
      <c r="P87" s="876"/>
      <c r="Q87" s="28"/>
      <c r="R87" s="27"/>
      <c r="S87" s="876"/>
    </row>
    <row r="88" spans="1:19" ht="40.5" customHeight="1" x14ac:dyDescent="0.25">
      <c r="A88" s="1334"/>
      <c r="B88" s="1335"/>
      <c r="C88" s="1335"/>
      <c r="D88" s="1335"/>
      <c r="E88" s="1336"/>
      <c r="F88" s="26"/>
      <c r="G88" s="879" t="s">
        <v>967</v>
      </c>
      <c r="H88" s="411"/>
      <c r="I88" s="407"/>
      <c r="J88" s="408"/>
      <c r="K88" s="407"/>
      <c r="L88" s="408"/>
      <c r="M88" s="27"/>
      <c r="N88" s="12"/>
      <c r="O88" s="12"/>
      <c r="P88" s="876"/>
      <c r="Q88" s="28"/>
      <c r="R88" s="27"/>
      <c r="S88" s="876"/>
    </row>
    <row r="89" spans="1:19" ht="40.5" customHeight="1" x14ac:dyDescent="0.25">
      <c r="A89" s="1334"/>
      <c r="B89" s="1335"/>
      <c r="C89" s="1335"/>
      <c r="D89" s="1335"/>
      <c r="E89" s="1336"/>
      <c r="F89" s="26">
        <v>13</v>
      </c>
      <c r="G89" s="879" t="s">
        <v>968</v>
      </c>
      <c r="H89" s="412"/>
      <c r="I89" s="1245"/>
      <c r="J89" s="1246"/>
      <c r="K89" s="1245"/>
      <c r="L89" s="1246"/>
      <c r="M89" s="27"/>
      <c r="N89" s="12"/>
      <c r="O89" s="12"/>
      <c r="P89" s="876"/>
      <c r="Q89" s="28"/>
      <c r="R89" s="27"/>
      <c r="S89" s="876"/>
    </row>
    <row r="90" spans="1:19" ht="40.5" customHeight="1" x14ac:dyDescent="0.25">
      <c r="A90" s="1334"/>
      <c r="B90" s="1335"/>
      <c r="C90" s="1335"/>
      <c r="D90" s="1335"/>
      <c r="E90" s="1336"/>
      <c r="F90" s="26"/>
      <c r="G90" s="879" t="s">
        <v>969</v>
      </c>
      <c r="H90" s="418"/>
      <c r="I90" s="415"/>
      <c r="J90" s="416"/>
      <c r="K90" s="415"/>
      <c r="L90" s="416"/>
      <c r="M90" s="27"/>
      <c r="N90" s="12"/>
      <c r="O90" s="12"/>
      <c r="P90" s="876"/>
      <c r="Q90" s="28"/>
      <c r="R90" s="27"/>
      <c r="S90" s="876"/>
    </row>
    <row r="91" spans="1:19" ht="40.5" customHeight="1" x14ac:dyDescent="0.25">
      <c r="A91" s="1334"/>
      <c r="B91" s="1335"/>
      <c r="C91" s="1335"/>
      <c r="D91" s="1335"/>
      <c r="E91" s="1336"/>
      <c r="F91" s="26"/>
      <c r="G91" s="879" t="s">
        <v>970</v>
      </c>
      <c r="H91" s="418"/>
      <c r="I91" s="415"/>
      <c r="J91" s="416"/>
      <c r="K91" s="415"/>
      <c r="L91" s="416"/>
      <c r="M91" s="27"/>
      <c r="N91" s="12"/>
      <c r="O91" s="12"/>
      <c r="P91" s="876"/>
      <c r="Q91" s="28"/>
      <c r="R91" s="27"/>
      <c r="S91" s="876"/>
    </row>
    <row r="92" spans="1:19" ht="39.75" customHeight="1" x14ac:dyDescent="0.25">
      <c r="A92" s="1334"/>
      <c r="B92" s="1335"/>
      <c r="C92" s="1335"/>
      <c r="D92" s="1335"/>
      <c r="E92" s="1336"/>
      <c r="F92" s="26">
        <v>14</v>
      </c>
      <c r="G92" s="417"/>
      <c r="H92" s="418"/>
      <c r="I92" s="1331"/>
      <c r="J92" s="1332"/>
      <c r="K92" s="1331"/>
      <c r="L92" s="1332"/>
      <c r="M92" s="27"/>
      <c r="N92" s="27"/>
      <c r="O92" s="27"/>
      <c r="P92" s="27"/>
      <c r="Q92" s="28"/>
      <c r="R92" s="27"/>
      <c r="S92" s="27"/>
    </row>
    <row r="93" spans="1:19" s="23" customFormat="1" ht="24.75" customHeight="1" x14ac:dyDescent="0.25">
      <c r="A93" s="36">
        <v>3</v>
      </c>
      <c r="B93" s="1333" t="s">
        <v>85</v>
      </c>
      <c r="C93" s="1333"/>
      <c r="D93" s="1333"/>
      <c r="E93" s="1333"/>
      <c r="F93" s="1333"/>
      <c r="G93" s="1333"/>
      <c r="H93" s="1333"/>
      <c r="I93" s="1333"/>
      <c r="J93" s="1333"/>
      <c r="K93" s="1333"/>
      <c r="L93" s="1333"/>
      <c r="M93" s="1333"/>
      <c r="N93" s="1333"/>
      <c r="O93" s="1333"/>
      <c r="P93" s="1333"/>
      <c r="Q93" s="29">
        <f>SUM(Q94:Q99)</f>
        <v>20000000</v>
      </c>
      <c r="R93" s="1290"/>
      <c r="S93" s="1290"/>
    </row>
    <row r="94" spans="1:19" ht="60" customHeight="1" x14ac:dyDescent="0.25">
      <c r="A94" s="1334" t="s">
        <v>86</v>
      </c>
      <c r="B94" s="1335"/>
      <c r="C94" s="1335"/>
      <c r="D94" s="1335"/>
      <c r="E94" s="1336"/>
      <c r="F94" s="16">
        <v>1</v>
      </c>
      <c r="G94" s="1280" t="s">
        <v>145</v>
      </c>
      <c r="H94" s="1281"/>
      <c r="I94" s="1304" t="s">
        <v>146</v>
      </c>
      <c r="J94" s="1268"/>
      <c r="K94" s="1267" t="s">
        <v>147</v>
      </c>
      <c r="L94" s="1268"/>
      <c r="M94" s="30" t="s">
        <v>148</v>
      </c>
      <c r="N94" s="17" t="s">
        <v>51</v>
      </c>
      <c r="O94" s="17" t="s">
        <v>51</v>
      </c>
      <c r="P94" s="22" t="s">
        <v>46</v>
      </c>
      <c r="Q94" s="13">
        <v>20000000</v>
      </c>
      <c r="R94" s="17" t="s">
        <v>139</v>
      </c>
      <c r="S94" s="17" t="s">
        <v>149</v>
      </c>
    </row>
    <row r="95" spans="1:19" ht="52.5" hidden="1" customHeight="1" x14ac:dyDescent="0.25">
      <c r="A95" s="1334"/>
      <c r="B95" s="1335"/>
      <c r="C95" s="1335"/>
      <c r="D95" s="1335"/>
      <c r="E95" s="1336"/>
      <c r="F95" s="21">
        <v>2</v>
      </c>
      <c r="G95" s="1253"/>
      <c r="H95" s="1254"/>
      <c r="I95" s="1245"/>
      <c r="J95" s="1246"/>
      <c r="K95" s="1245"/>
      <c r="L95" s="1246"/>
      <c r="M95" s="30"/>
      <c r="N95" s="17"/>
      <c r="O95" s="24"/>
      <c r="P95" s="22"/>
      <c r="Q95" s="13"/>
      <c r="R95" s="22"/>
      <c r="S95" s="22"/>
    </row>
    <row r="96" spans="1:19" ht="52.5" hidden="1" customHeight="1" x14ac:dyDescent="0.25">
      <c r="A96" s="1334"/>
      <c r="B96" s="1335"/>
      <c r="C96" s="1335"/>
      <c r="D96" s="1335"/>
      <c r="E96" s="1336"/>
      <c r="F96" s="16">
        <v>3</v>
      </c>
      <c r="G96" s="1247"/>
      <c r="H96" s="1248"/>
      <c r="I96" s="1245"/>
      <c r="J96" s="1246"/>
      <c r="K96" s="1245"/>
      <c r="L96" s="1246"/>
      <c r="M96" s="30"/>
      <c r="N96" s="17"/>
      <c r="O96" s="24"/>
      <c r="P96" s="22"/>
      <c r="Q96" s="13"/>
      <c r="R96" s="12"/>
      <c r="S96" s="22"/>
    </row>
    <row r="97" spans="1:19" ht="52.5" hidden="1" customHeight="1" x14ac:dyDescent="0.25">
      <c r="A97" s="1334"/>
      <c r="B97" s="1335"/>
      <c r="C97" s="1335"/>
      <c r="D97" s="1335"/>
      <c r="E97" s="1336"/>
      <c r="F97" s="21">
        <v>4</v>
      </c>
      <c r="G97" s="1259"/>
      <c r="H97" s="1260"/>
      <c r="I97" s="1245"/>
      <c r="J97" s="1246"/>
      <c r="K97" s="1245"/>
      <c r="L97" s="1246"/>
      <c r="M97" s="30"/>
      <c r="N97" s="17"/>
      <c r="O97" s="24"/>
      <c r="P97" s="22"/>
      <c r="Q97" s="13"/>
      <c r="R97" s="12"/>
      <c r="S97" s="22"/>
    </row>
    <row r="98" spans="1:19" ht="52.5" hidden="1" customHeight="1" x14ac:dyDescent="0.25">
      <c r="A98" s="1334"/>
      <c r="B98" s="1335"/>
      <c r="C98" s="1335"/>
      <c r="D98" s="1335"/>
      <c r="E98" s="1336"/>
      <c r="F98" s="16">
        <v>5</v>
      </c>
      <c r="G98" s="1257"/>
      <c r="H98" s="1258"/>
      <c r="I98" s="1245"/>
      <c r="J98" s="1246"/>
      <c r="K98" s="1245"/>
      <c r="L98" s="1246"/>
      <c r="M98" s="30"/>
      <c r="N98" s="17"/>
      <c r="O98" s="24"/>
      <c r="P98" s="22"/>
      <c r="Q98" s="13"/>
      <c r="R98" s="12"/>
      <c r="S98" s="22"/>
    </row>
    <row r="99" spans="1:19" ht="53.25" hidden="1" customHeight="1" x14ac:dyDescent="0.25">
      <c r="A99" s="1334"/>
      <c r="B99" s="1335"/>
      <c r="C99" s="1335"/>
      <c r="D99" s="1335"/>
      <c r="E99" s="1336"/>
      <c r="F99" s="21">
        <v>6</v>
      </c>
      <c r="G99" s="1302"/>
      <c r="H99" s="1303"/>
      <c r="I99" s="1275"/>
      <c r="J99" s="1276"/>
      <c r="K99" s="1275"/>
      <c r="L99" s="1276"/>
      <c r="M99" s="30"/>
      <c r="N99" s="17"/>
      <c r="O99" s="27"/>
      <c r="P99" s="27"/>
      <c r="Q99" s="28"/>
      <c r="R99" s="27"/>
      <c r="S99" s="27"/>
    </row>
    <row r="100" spans="1:19" ht="53.25" customHeight="1" x14ac:dyDescent="0.25">
      <c r="A100" s="875"/>
      <c r="B100" s="873"/>
      <c r="C100" s="873"/>
      <c r="D100" s="873"/>
      <c r="E100" s="873"/>
      <c r="F100" s="870"/>
      <c r="G100" s="879" t="s">
        <v>919</v>
      </c>
      <c r="H100" s="881"/>
      <c r="I100" s="871"/>
      <c r="J100" s="871"/>
      <c r="K100" s="871"/>
      <c r="L100" s="871"/>
      <c r="M100" s="871"/>
      <c r="N100" s="873"/>
      <c r="O100" s="871"/>
      <c r="P100" s="871"/>
      <c r="Q100" s="882"/>
      <c r="R100" s="871"/>
      <c r="S100" s="871"/>
    </row>
    <row r="101" spans="1:19" ht="53.25" customHeight="1" x14ac:dyDescent="0.25">
      <c r="A101" s="413"/>
      <c r="B101" s="414"/>
      <c r="C101" s="414"/>
      <c r="D101" s="414"/>
      <c r="E101" s="414"/>
      <c r="F101" s="870"/>
      <c r="G101" s="881" t="s">
        <v>920</v>
      </c>
      <c r="H101" s="881"/>
      <c r="I101" s="871"/>
      <c r="J101" s="871"/>
      <c r="K101" s="871"/>
      <c r="L101" s="871"/>
      <c r="M101" s="871"/>
      <c r="N101" s="873"/>
      <c r="O101" s="871"/>
      <c r="P101" s="871"/>
      <c r="Q101" s="882"/>
      <c r="R101" s="871"/>
      <c r="S101" s="871"/>
    </row>
    <row r="102" spans="1:19" ht="53.25" customHeight="1" x14ac:dyDescent="0.25">
      <c r="A102" s="413"/>
      <c r="B102" s="414"/>
      <c r="C102" s="414"/>
      <c r="D102" s="414"/>
      <c r="E102" s="414"/>
      <c r="F102" s="870"/>
      <c r="G102" s="881" t="s">
        <v>921</v>
      </c>
      <c r="H102" s="881"/>
      <c r="I102" s="871"/>
      <c r="J102" s="871"/>
      <c r="K102" s="871"/>
      <c r="L102" s="871"/>
      <c r="M102" s="871"/>
      <c r="N102" s="873"/>
      <c r="O102" s="871"/>
      <c r="P102" s="871"/>
      <c r="Q102" s="882"/>
      <c r="R102" s="871"/>
      <c r="S102" s="871"/>
    </row>
    <row r="103" spans="1:19" ht="53.25" customHeight="1" x14ac:dyDescent="0.25">
      <c r="A103" s="413"/>
      <c r="B103" s="414"/>
      <c r="C103" s="414"/>
      <c r="D103" s="414"/>
      <c r="E103" s="414"/>
      <c r="F103" s="870"/>
      <c r="G103" s="881" t="s">
        <v>922</v>
      </c>
      <c r="H103" s="881"/>
      <c r="I103" s="871"/>
      <c r="J103" s="871"/>
      <c r="K103" s="871"/>
      <c r="L103" s="871"/>
      <c r="M103" s="871"/>
      <c r="N103" s="873"/>
      <c r="O103" s="871"/>
      <c r="P103" s="871"/>
      <c r="Q103" s="882"/>
      <c r="R103" s="871"/>
      <c r="S103" s="871"/>
    </row>
    <row r="104" spans="1:19" ht="53.25" customHeight="1" x14ac:dyDescent="0.25">
      <c r="A104" s="413"/>
      <c r="B104" s="414"/>
      <c r="C104" s="414"/>
      <c r="D104" s="414"/>
      <c r="E104" s="414"/>
      <c r="F104" s="870"/>
      <c r="G104" s="881" t="s">
        <v>923</v>
      </c>
      <c r="H104" s="881"/>
      <c r="I104" s="871"/>
      <c r="J104" s="871"/>
      <c r="K104" s="871"/>
      <c r="L104" s="871"/>
      <c r="M104" s="871"/>
      <c r="N104" s="873"/>
      <c r="O104" s="871"/>
      <c r="P104" s="871"/>
      <c r="Q104" s="882"/>
      <c r="R104" s="871"/>
      <c r="S104" s="871"/>
    </row>
    <row r="105" spans="1:19" ht="53.25" customHeight="1" x14ac:dyDescent="0.25">
      <c r="A105" s="413"/>
      <c r="B105" s="414"/>
      <c r="C105" s="414"/>
      <c r="D105" s="414"/>
      <c r="E105" s="414"/>
      <c r="F105" s="870"/>
      <c r="G105" s="881" t="s">
        <v>924</v>
      </c>
      <c r="H105" s="881"/>
      <c r="I105" s="871"/>
      <c r="J105" s="871"/>
      <c r="K105" s="871"/>
      <c r="L105" s="871"/>
      <c r="M105" s="871"/>
      <c r="N105" s="873"/>
      <c r="O105" s="871"/>
      <c r="P105" s="871"/>
      <c r="Q105" s="882"/>
      <c r="R105" s="871"/>
      <c r="S105" s="871"/>
    </row>
    <row r="106" spans="1:19" ht="53.25" customHeight="1" x14ac:dyDescent="0.25">
      <c r="A106" s="413"/>
      <c r="B106" s="414"/>
      <c r="C106" s="414"/>
      <c r="D106" s="414"/>
      <c r="E106" s="414"/>
      <c r="F106" s="870"/>
      <c r="G106" s="881" t="s">
        <v>925</v>
      </c>
      <c r="H106" s="881"/>
      <c r="I106" s="871"/>
      <c r="J106" s="871"/>
      <c r="K106" s="871"/>
      <c r="L106" s="871"/>
      <c r="M106" s="871"/>
      <c r="N106" s="873"/>
      <c r="O106" s="871"/>
      <c r="P106" s="871"/>
      <c r="Q106" s="882"/>
      <c r="R106" s="871"/>
      <c r="S106" s="871"/>
    </row>
    <row r="107" spans="1:19" ht="53.25" customHeight="1" x14ac:dyDescent="0.25">
      <c r="A107" s="413"/>
      <c r="B107" s="414"/>
      <c r="C107" s="414"/>
      <c r="D107" s="414"/>
      <c r="E107" s="414"/>
      <c r="F107" s="870"/>
      <c r="G107" s="881" t="s">
        <v>926</v>
      </c>
      <c r="H107" s="881"/>
      <c r="I107" s="871"/>
      <c r="J107" s="871"/>
      <c r="K107" s="871"/>
      <c r="L107" s="871"/>
      <c r="M107" s="871"/>
      <c r="N107" s="873"/>
      <c r="O107" s="871"/>
      <c r="P107" s="871"/>
      <c r="Q107" s="882"/>
      <c r="R107" s="871"/>
      <c r="S107" s="871"/>
    </row>
    <row r="108" spans="1:19" ht="53.25" customHeight="1" x14ac:dyDescent="0.25">
      <c r="A108" s="413"/>
      <c r="B108" s="414"/>
      <c r="C108" s="414"/>
      <c r="D108" s="414"/>
      <c r="E108" s="414"/>
      <c r="F108" s="870"/>
      <c r="G108" s="881" t="s">
        <v>927</v>
      </c>
      <c r="H108" s="881"/>
      <c r="I108" s="871"/>
      <c r="J108" s="871"/>
      <c r="K108" s="871"/>
      <c r="L108" s="871"/>
      <c r="M108" s="871"/>
      <c r="N108" s="873"/>
      <c r="O108" s="871"/>
      <c r="P108" s="871"/>
      <c r="Q108" s="882"/>
      <c r="R108" s="871"/>
      <c r="S108" s="871"/>
    </row>
    <row r="109" spans="1:19" ht="53.25" customHeight="1" x14ac:dyDescent="0.25">
      <c r="A109" s="413"/>
      <c r="B109" s="414"/>
      <c r="C109" s="414"/>
      <c r="D109" s="414"/>
      <c r="E109" s="414"/>
      <c r="F109" s="870"/>
      <c r="G109" s="881" t="s">
        <v>880</v>
      </c>
      <c r="H109" s="881"/>
      <c r="I109" s="871"/>
      <c r="J109" s="871"/>
      <c r="K109" s="871"/>
      <c r="L109" s="871"/>
      <c r="M109" s="871"/>
      <c r="N109" s="873"/>
      <c r="O109" s="871"/>
      <c r="P109" s="871"/>
      <c r="Q109" s="882"/>
      <c r="R109" s="871"/>
      <c r="S109" s="871"/>
    </row>
    <row r="110" spans="1:19" ht="53.25" customHeight="1" x14ac:dyDescent="0.25">
      <c r="A110" s="413"/>
      <c r="B110" s="414"/>
      <c r="C110" s="414"/>
      <c r="D110" s="414"/>
      <c r="E110" s="414"/>
      <c r="F110" s="870"/>
      <c r="G110" s="881" t="s">
        <v>106</v>
      </c>
      <c r="H110" s="881"/>
      <c r="I110" s="871"/>
      <c r="J110" s="871"/>
      <c r="K110" s="871"/>
      <c r="L110" s="871"/>
      <c r="M110" s="871"/>
      <c r="N110" s="873"/>
      <c r="O110" s="871"/>
      <c r="P110" s="871"/>
      <c r="Q110" s="882"/>
      <c r="R110" s="871"/>
      <c r="S110" s="871"/>
    </row>
    <row r="111" spans="1:19" ht="53.25" customHeight="1" x14ac:dyDescent="0.25">
      <c r="A111" s="413"/>
      <c r="B111" s="414"/>
      <c r="C111" s="414"/>
      <c r="D111" s="414"/>
      <c r="E111" s="414"/>
      <c r="F111" s="870"/>
      <c r="G111" s="881" t="s">
        <v>994</v>
      </c>
      <c r="H111" s="881"/>
      <c r="I111" s="871"/>
      <c r="J111" s="871"/>
      <c r="K111" s="871"/>
      <c r="L111" s="871"/>
      <c r="M111" s="871"/>
      <c r="N111" s="873"/>
      <c r="O111" s="871"/>
      <c r="P111" s="871"/>
      <c r="Q111" s="882"/>
      <c r="R111" s="871"/>
      <c r="S111" s="871"/>
    </row>
    <row r="112" spans="1:19" s="23" customFormat="1" ht="24.75" customHeight="1" x14ac:dyDescent="0.25">
      <c r="A112" s="36">
        <v>4</v>
      </c>
      <c r="B112" s="1277" t="s">
        <v>413</v>
      </c>
      <c r="C112" s="1277"/>
      <c r="D112" s="1277"/>
      <c r="E112" s="1277"/>
      <c r="F112" s="1277"/>
      <c r="G112" s="1277"/>
      <c r="H112" s="1277"/>
      <c r="I112" s="1277"/>
      <c r="J112" s="1277"/>
      <c r="K112" s="1277"/>
      <c r="L112" s="1277"/>
      <c r="M112" s="1277"/>
      <c r="N112" s="1277"/>
      <c r="O112" s="1277"/>
      <c r="P112" s="1277"/>
      <c r="Q112" s="29">
        <f>SUM(Q113:Q115)</f>
        <v>0</v>
      </c>
      <c r="R112" s="1290"/>
      <c r="S112" s="1290"/>
    </row>
    <row r="113" spans="1:19" ht="36" customHeight="1" x14ac:dyDescent="0.25">
      <c r="A113" s="1262" t="s">
        <v>110</v>
      </c>
      <c r="B113" s="1263"/>
      <c r="C113" s="1263"/>
      <c r="D113" s="1263"/>
      <c r="E113" s="1264"/>
      <c r="F113" s="16">
        <v>1</v>
      </c>
      <c r="G113" s="419"/>
      <c r="H113" s="420"/>
      <c r="I113" s="1267"/>
      <c r="J113" s="1268"/>
      <c r="K113" s="1267"/>
      <c r="L113" s="1268"/>
      <c r="M113" s="30"/>
      <c r="N113" s="30"/>
      <c r="O113" s="30"/>
      <c r="P113" s="30"/>
      <c r="Q113" s="28"/>
      <c r="R113" s="27"/>
      <c r="S113" s="30"/>
    </row>
    <row r="114" spans="1:19" ht="36" hidden="1" customHeight="1" x14ac:dyDescent="0.25">
      <c r="A114" s="1262"/>
      <c r="B114" s="1263"/>
      <c r="C114" s="1263"/>
      <c r="D114" s="1263"/>
      <c r="E114" s="1264"/>
      <c r="F114" s="21">
        <v>2</v>
      </c>
      <c r="G114" s="1301"/>
      <c r="H114" s="1254"/>
      <c r="I114" s="1245"/>
      <c r="J114" s="1246"/>
      <c r="K114" s="1245"/>
      <c r="L114" s="1246"/>
      <c r="M114" s="24"/>
      <c r="N114" s="24"/>
      <c r="O114" s="24"/>
      <c r="P114" s="24"/>
      <c r="Q114" s="28"/>
      <c r="R114" s="27"/>
      <c r="S114" s="24"/>
    </row>
    <row r="115" spans="1:19" ht="48" hidden="1" customHeight="1" x14ac:dyDescent="0.25">
      <c r="A115" s="1262"/>
      <c r="B115" s="1263"/>
      <c r="C115" s="1263"/>
      <c r="D115" s="1263"/>
      <c r="E115" s="1264"/>
      <c r="F115" s="26">
        <v>3</v>
      </c>
      <c r="G115" s="1278"/>
      <c r="H115" s="1279"/>
      <c r="I115" s="1275"/>
      <c r="J115" s="1276"/>
      <c r="K115" s="1275"/>
      <c r="L115" s="1276"/>
      <c r="M115" s="27"/>
      <c r="N115" s="27"/>
      <c r="O115" s="27"/>
      <c r="P115" s="27"/>
      <c r="Q115" s="28"/>
      <c r="R115" s="27"/>
      <c r="S115" s="27"/>
    </row>
    <row r="116" spans="1:19" ht="48" customHeight="1" x14ac:dyDescent="0.25">
      <c r="A116" s="413"/>
      <c r="B116" s="414"/>
      <c r="C116" s="414"/>
      <c r="D116" s="414"/>
      <c r="E116" s="414"/>
      <c r="F116" s="870"/>
      <c r="G116" s="879" t="s">
        <v>972</v>
      </c>
      <c r="H116" s="874"/>
      <c r="I116" s="871"/>
      <c r="J116" s="871"/>
      <c r="K116" s="871"/>
      <c r="L116" s="871"/>
      <c r="M116" s="871"/>
      <c r="N116" s="871"/>
      <c r="O116" s="871"/>
      <c r="P116" s="871"/>
      <c r="Q116" s="872"/>
      <c r="R116" s="871"/>
      <c r="S116" s="871"/>
    </row>
    <row r="117" spans="1:19" ht="48" customHeight="1" x14ac:dyDescent="0.25">
      <c r="A117" s="413"/>
      <c r="B117" s="414"/>
      <c r="C117" s="414"/>
      <c r="D117" s="414"/>
      <c r="E117" s="414"/>
      <c r="F117" s="870"/>
      <c r="G117" s="879" t="s">
        <v>973</v>
      </c>
      <c r="H117" s="874"/>
      <c r="I117" s="871"/>
      <c r="J117" s="871"/>
      <c r="K117" s="871"/>
      <c r="L117" s="871"/>
      <c r="M117" s="871"/>
      <c r="N117" s="871"/>
      <c r="O117" s="871"/>
      <c r="P117" s="871"/>
      <c r="Q117" s="872"/>
      <c r="R117" s="871"/>
      <c r="S117" s="871"/>
    </row>
    <row r="118" spans="1:19" ht="48" customHeight="1" x14ac:dyDescent="0.25">
      <c r="A118" s="413"/>
      <c r="B118" s="414"/>
      <c r="C118" s="414"/>
      <c r="D118" s="414"/>
      <c r="E118" s="414"/>
      <c r="F118" s="870"/>
      <c r="G118" s="879" t="s">
        <v>974</v>
      </c>
      <c r="H118" s="874"/>
      <c r="I118" s="871"/>
      <c r="J118" s="871"/>
      <c r="K118" s="871"/>
      <c r="L118" s="871"/>
      <c r="M118" s="871"/>
      <c r="N118" s="871"/>
      <c r="O118" s="871"/>
      <c r="P118" s="871"/>
      <c r="Q118" s="872"/>
      <c r="R118" s="871"/>
      <c r="S118" s="871"/>
    </row>
    <row r="119" spans="1:19" ht="48" customHeight="1" x14ac:dyDescent="0.25">
      <c r="A119" s="413"/>
      <c r="B119" s="414"/>
      <c r="C119" s="414"/>
      <c r="D119" s="414"/>
      <c r="E119" s="414"/>
      <c r="F119" s="870"/>
      <c r="G119" s="879" t="s">
        <v>975</v>
      </c>
      <c r="H119" s="874"/>
      <c r="I119" s="871"/>
      <c r="J119" s="871"/>
      <c r="K119" s="871"/>
      <c r="L119" s="871"/>
      <c r="M119" s="871"/>
      <c r="N119" s="871"/>
      <c r="O119" s="871"/>
      <c r="P119" s="871"/>
      <c r="Q119" s="872"/>
      <c r="R119" s="871"/>
      <c r="S119" s="871"/>
    </row>
    <row r="120" spans="1:19" ht="48" customHeight="1" x14ac:dyDescent="0.25">
      <c r="A120" s="413"/>
      <c r="B120" s="414"/>
      <c r="C120" s="414"/>
      <c r="D120" s="414"/>
      <c r="E120" s="414"/>
      <c r="F120" s="870"/>
      <c r="G120" s="879" t="s">
        <v>976</v>
      </c>
      <c r="H120" s="874"/>
      <c r="I120" s="871"/>
      <c r="J120" s="871"/>
      <c r="K120" s="871"/>
      <c r="L120" s="871"/>
      <c r="M120" s="871"/>
      <c r="N120" s="871"/>
      <c r="O120" s="871"/>
      <c r="P120" s="871"/>
      <c r="Q120" s="872"/>
      <c r="R120" s="871"/>
      <c r="S120" s="871"/>
    </row>
    <row r="121" spans="1:19" ht="48" customHeight="1" x14ac:dyDescent="0.25">
      <c r="A121" s="413"/>
      <c r="B121" s="414"/>
      <c r="C121" s="414"/>
      <c r="D121" s="414"/>
      <c r="E121" s="414"/>
      <c r="F121" s="870"/>
      <c r="G121" s="879" t="s">
        <v>977</v>
      </c>
      <c r="H121" s="874"/>
      <c r="I121" s="871"/>
      <c r="J121" s="871"/>
      <c r="K121" s="871"/>
      <c r="L121" s="871"/>
      <c r="M121" s="871"/>
      <c r="N121" s="871"/>
      <c r="O121" s="871"/>
      <c r="P121" s="871"/>
      <c r="Q121" s="872"/>
      <c r="R121" s="871"/>
      <c r="S121" s="871"/>
    </row>
    <row r="122" spans="1:19" ht="48" customHeight="1" x14ac:dyDescent="0.25">
      <c r="A122" s="413"/>
      <c r="B122" s="414"/>
      <c r="C122" s="414"/>
      <c r="D122" s="414"/>
      <c r="E122" s="414"/>
      <c r="F122" s="870"/>
      <c r="G122" s="879" t="s">
        <v>978</v>
      </c>
      <c r="H122" s="874"/>
      <c r="I122" s="871"/>
      <c r="J122" s="871"/>
      <c r="K122" s="871"/>
      <c r="L122" s="871"/>
      <c r="M122" s="871"/>
      <c r="N122" s="871"/>
      <c r="O122" s="871"/>
      <c r="P122" s="871"/>
      <c r="Q122" s="872"/>
      <c r="R122" s="871"/>
      <c r="S122" s="871"/>
    </row>
    <row r="123" spans="1:19" ht="48" customHeight="1" x14ac:dyDescent="0.25">
      <c r="A123" s="413"/>
      <c r="B123" s="414"/>
      <c r="C123" s="414"/>
      <c r="D123" s="414"/>
      <c r="E123" s="414"/>
      <c r="F123" s="870"/>
      <c r="G123" s="879" t="s">
        <v>979</v>
      </c>
      <c r="H123" s="874"/>
      <c r="I123" s="871"/>
      <c r="J123" s="871"/>
      <c r="K123" s="871"/>
      <c r="L123" s="871"/>
      <c r="M123" s="871"/>
      <c r="N123" s="871"/>
      <c r="O123" s="871"/>
      <c r="P123" s="871"/>
      <c r="Q123" s="872"/>
      <c r="R123" s="871"/>
      <c r="S123" s="871"/>
    </row>
    <row r="124" spans="1:19" s="23" customFormat="1" ht="24.75" customHeight="1" x14ac:dyDescent="0.25">
      <c r="A124" s="36">
        <v>5</v>
      </c>
      <c r="B124" s="1277" t="s">
        <v>414</v>
      </c>
      <c r="C124" s="1277"/>
      <c r="D124" s="1277"/>
      <c r="E124" s="1277"/>
      <c r="F124" s="1277"/>
      <c r="G124" s="1277"/>
      <c r="H124" s="1277"/>
      <c r="I124" s="1277"/>
      <c r="J124" s="1277"/>
      <c r="K124" s="1277"/>
      <c r="L124" s="1277"/>
      <c r="M124" s="1277"/>
      <c r="N124" s="1277"/>
      <c r="O124" s="1277"/>
      <c r="P124" s="1277"/>
      <c r="Q124" s="15">
        <f>Q125</f>
        <v>0</v>
      </c>
      <c r="R124" s="1290"/>
      <c r="S124" s="1290"/>
    </row>
    <row r="125" spans="1:19" ht="38.25" customHeight="1" x14ac:dyDescent="0.25">
      <c r="A125" s="1312" t="s">
        <v>115</v>
      </c>
      <c r="B125" s="1313"/>
      <c r="C125" s="1313"/>
      <c r="D125" s="1313"/>
      <c r="E125" s="1314"/>
      <c r="F125" s="31">
        <v>1</v>
      </c>
      <c r="G125" s="1316"/>
      <c r="H125" s="1317"/>
      <c r="I125" s="1269"/>
      <c r="J125" s="1270"/>
      <c r="K125" s="1269"/>
      <c r="L125" s="1270"/>
      <c r="M125" s="32"/>
      <c r="N125" s="32"/>
      <c r="O125" s="32"/>
      <c r="P125" s="32"/>
      <c r="Q125" s="33"/>
      <c r="R125" s="32"/>
      <c r="S125" s="32"/>
    </row>
    <row r="126" spans="1:19" ht="31.5" customHeight="1" x14ac:dyDescent="0.25">
      <c r="A126" s="1315" t="s">
        <v>120</v>
      </c>
      <c r="B126" s="1315"/>
      <c r="C126" s="1315"/>
      <c r="D126" s="1315"/>
      <c r="E126" s="1315"/>
      <c r="F126" s="1315"/>
      <c r="G126" s="1315"/>
      <c r="H126" s="1315"/>
      <c r="I126" s="1315"/>
      <c r="J126" s="1315"/>
      <c r="K126" s="1315"/>
      <c r="L126" s="1315"/>
      <c r="M126" s="1315"/>
      <c r="N126" s="1315"/>
      <c r="O126" s="1315"/>
      <c r="P126" s="1315"/>
      <c r="Q126" s="34">
        <f>Q124+Q112+Q93+Q27+Q9</f>
        <v>67400000</v>
      </c>
      <c r="R126" s="1311"/>
      <c r="S126" s="1311"/>
    </row>
    <row r="127" spans="1:19" ht="31.5" customHeight="1" x14ac:dyDescent="0.25"/>
    <row r="128" spans="1:19" ht="14.4" x14ac:dyDescent="0.25">
      <c r="N128" s="1310" t="s">
        <v>121</v>
      </c>
      <c r="O128" s="1310"/>
      <c r="P128" s="1310"/>
      <c r="Q128" s="1310"/>
      <c r="R128" s="1310"/>
      <c r="S128" s="1310"/>
    </row>
    <row r="129" spans="4:8" x14ac:dyDescent="0.25">
      <c r="D129" s="1309"/>
      <c r="E129" s="1309"/>
      <c r="F129" s="1309"/>
      <c r="G129" s="1309"/>
      <c r="H129" s="1309"/>
    </row>
    <row r="130" spans="4:8" x14ac:dyDescent="0.25">
      <c r="D130" s="3"/>
      <c r="E130" s="3"/>
      <c r="F130" s="5"/>
      <c r="G130" s="3"/>
    </row>
    <row r="131" spans="4:8" x14ac:dyDescent="0.25">
      <c r="D131" s="3"/>
      <c r="E131" s="3"/>
      <c r="F131" s="5"/>
      <c r="G131" s="3"/>
    </row>
    <row r="132" spans="4:8" x14ac:dyDescent="0.25">
      <c r="D132" s="3"/>
      <c r="E132" s="3"/>
      <c r="F132" s="5"/>
      <c r="G132" s="3"/>
    </row>
    <row r="133" spans="4:8" x14ac:dyDescent="0.25">
      <c r="D133" s="1309"/>
      <c r="E133" s="1309"/>
      <c r="F133" s="1309"/>
      <c r="G133" s="1309"/>
      <c r="H133" s="1309"/>
    </row>
    <row r="134" spans="4:8" x14ac:dyDescent="0.25">
      <c r="D134" s="3"/>
      <c r="E134" s="3"/>
      <c r="F134" s="5"/>
      <c r="G134" s="3"/>
    </row>
    <row r="135" spans="4:8" x14ac:dyDescent="0.25">
      <c r="D135" s="3"/>
      <c r="E135" s="3"/>
      <c r="F135" s="5"/>
      <c r="G135" s="3"/>
    </row>
    <row r="136" spans="4:8" x14ac:dyDescent="0.25">
      <c r="D136" s="3"/>
      <c r="E136" s="3"/>
      <c r="F136" s="5"/>
      <c r="G136" s="3"/>
    </row>
  </sheetData>
  <mergeCells count="193">
    <mergeCell ref="K72:L72"/>
    <mergeCell ref="K73:L73"/>
    <mergeCell ref="K74:L74"/>
    <mergeCell ref="K75:L75"/>
    <mergeCell ref="K76:L76"/>
    <mergeCell ref="K77:L77"/>
    <mergeCell ref="K89:L89"/>
    <mergeCell ref="I74:J74"/>
    <mergeCell ref="I75:J75"/>
    <mergeCell ref="I76:J76"/>
    <mergeCell ref="I77:J77"/>
    <mergeCell ref="I89:J89"/>
    <mergeCell ref="I72:J72"/>
    <mergeCell ref="I73:J73"/>
    <mergeCell ref="K52:L52"/>
    <mergeCell ref="K67:L67"/>
    <mergeCell ref="K68:L68"/>
    <mergeCell ref="K69:L69"/>
    <mergeCell ref="K70:L70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71:L71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67:J67"/>
    <mergeCell ref="I68:J68"/>
    <mergeCell ref="I69:J69"/>
    <mergeCell ref="I70:J70"/>
    <mergeCell ref="I71:J71"/>
    <mergeCell ref="K48:L48"/>
    <mergeCell ref="K49:L49"/>
    <mergeCell ref="K50:L50"/>
    <mergeCell ref="K51:L51"/>
    <mergeCell ref="G39:H39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G21:H21"/>
    <mergeCell ref="G22:H22"/>
    <mergeCell ref="G15:H15"/>
    <mergeCell ref="I10:J10"/>
    <mergeCell ref="G10:H10"/>
    <mergeCell ref="G35:H35"/>
    <mergeCell ref="G31:H31"/>
    <mergeCell ref="G32:H32"/>
    <mergeCell ref="G33:H33"/>
    <mergeCell ref="G34:H34"/>
    <mergeCell ref="I98:J98"/>
    <mergeCell ref="K30:L30"/>
    <mergeCell ref="I99:J99"/>
    <mergeCell ref="G38:H38"/>
    <mergeCell ref="I97:J97"/>
    <mergeCell ref="A10:E26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G19:H19"/>
    <mergeCell ref="G20:H20"/>
    <mergeCell ref="G17:H17"/>
    <mergeCell ref="G23:H23"/>
    <mergeCell ref="G24:H24"/>
    <mergeCell ref="G25:H25"/>
    <mergeCell ref="G26:H26"/>
    <mergeCell ref="G125:H125"/>
    <mergeCell ref="K37:L37"/>
    <mergeCell ref="K125:L125"/>
    <mergeCell ref="R27:S27"/>
    <mergeCell ref="I36:J36"/>
    <mergeCell ref="I29:J29"/>
    <mergeCell ref="G29:H29"/>
    <mergeCell ref="I113:J113"/>
    <mergeCell ref="K94:L94"/>
    <mergeCell ref="B27:P27"/>
    <mergeCell ref="G115:H115"/>
    <mergeCell ref="I38:J38"/>
    <mergeCell ref="G95:H95"/>
    <mergeCell ref="K95:L95"/>
    <mergeCell ref="I115:J115"/>
    <mergeCell ref="G36:H36"/>
    <mergeCell ref="K114:L114"/>
    <mergeCell ref="K99:L99"/>
    <mergeCell ref="A113:E115"/>
    <mergeCell ref="G8:H8"/>
    <mergeCell ref="I6:J7"/>
    <mergeCell ref="K6:L7"/>
    <mergeCell ref="A28:E92"/>
    <mergeCell ref="B8:E8"/>
    <mergeCell ref="B6:E7"/>
    <mergeCell ref="A6:A7"/>
    <mergeCell ref="G96:H96"/>
    <mergeCell ref="I28:J28"/>
    <mergeCell ref="A94:E99"/>
    <mergeCell ref="K97:L97"/>
    <mergeCell ref="I95:J95"/>
    <mergeCell ref="G11:H11"/>
    <mergeCell ref="G12:H12"/>
    <mergeCell ref="G13:H13"/>
    <mergeCell ref="G14:H14"/>
    <mergeCell ref="I96:J96"/>
    <mergeCell ref="G94:H94"/>
    <mergeCell ref="K78:L78"/>
    <mergeCell ref="K28:L28"/>
    <mergeCell ref="I30:J30"/>
    <mergeCell ref="I78:J78"/>
    <mergeCell ref="G18:H18"/>
    <mergeCell ref="G16:H16"/>
    <mergeCell ref="D133:H133"/>
    <mergeCell ref="M6:M7"/>
    <mergeCell ref="R124:S124"/>
    <mergeCell ref="G98:H98"/>
    <mergeCell ref="R126:S126"/>
    <mergeCell ref="K96:L96"/>
    <mergeCell ref="B112:P112"/>
    <mergeCell ref="N128:S128"/>
    <mergeCell ref="K115:L115"/>
    <mergeCell ref="I125:J125"/>
    <mergeCell ref="G99:H99"/>
    <mergeCell ref="K113:L113"/>
    <mergeCell ref="K8:L8"/>
    <mergeCell ref="G114:H114"/>
    <mergeCell ref="K36:L36"/>
    <mergeCell ref="I37:J37"/>
    <mergeCell ref="G37:H37"/>
    <mergeCell ref="R9:S9"/>
    <mergeCell ref="I92:J92"/>
    <mergeCell ref="R93:S93"/>
    <mergeCell ref="K29:L29"/>
    <mergeCell ref="F6:H7"/>
    <mergeCell ref="O6:O7"/>
    <mergeCell ref="N6:N7"/>
    <mergeCell ref="A2:S2"/>
    <mergeCell ref="Y8:Y9"/>
    <mergeCell ref="W8:X9"/>
    <mergeCell ref="A125:E125"/>
    <mergeCell ref="R112:S112"/>
    <mergeCell ref="D129:H129"/>
    <mergeCell ref="A1:S1"/>
    <mergeCell ref="Q6:R6"/>
    <mergeCell ref="S6:S7"/>
    <mergeCell ref="G97:H97"/>
    <mergeCell ref="I114:J114"/>
    <mergeCell ref="I94:J94"/>
    <mergeCell ref="G28:H28"/>
    <mergeCell ref="K98:L98"/>
    <mergeCell ref="K92:L92"/>
    <mergeCell ref="A126:P126"/>
    <mergeCell ref="K38:L38"/>
    <mergeCell ref="B93:P93"/>
    <mergeCell ref="B124:P124"/>
    <mergeCell ref="A3:S3"/>
    <mergeCell ref="G30:H30"/>
    <mergeCell ref="I8:J8"/>
    <mergeCell ref="B9:P9"/>
    <mergeCell ref="P6:P7"/>
  </mergeCells>
  <pageMargins left="0.28999999999999998" right="0.23" top="0.39" bottom="0.38" header="0.3" footer="0.2"/>
  <pageSetup paperSize="14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EECE1"/>
  </sheetPr>
  <dimension ref="A1:F31"/>
  <sheetViews>
    <sheetView zoomScale="210" zoomScaleNormal="210" workbookViewId="0">
      <selection activeCell="A4" sqref="A4:F4"/>
    </sheetView>
  </sheetViews>
  <sheetFormatPr defaultColWidth="9.33203125" defaultRowHeight="9.6" x14ac:dyDescent="0.25"/>
  <cols>
    <col min="1" max="1" width="7.33203125" style="37" customWidth="1"/>
    <col min="2" max="2" width="2.77734375" style="37" customWidth="1"/>
    <col min="3" max="3" width="2.77734375" style="38" customWidth="1"/>
    <col min="4" max="4" width="33.6640625" style="39" customWidth="1"/>
    <col min="5" max="5" width="19" style="39" customWidth="1"/>
    <col min="6" max="6" width="14.33203125" style="37" customWidth="1"/>
    <col min="7" max="16384" width="9.33203125" style="39"/>
  </cols>
  <sheetData>
    <row r="1" spans="1:6" x14ac:dyDescent="0.25">
      <c r="A1" s="1348" t="s">
        <v>154</v>
      </c>
      <c r="B1" s="1348"/>
      <c r="C1" s="1348"/>
      <c r="D1" s="1348"/>
      <c r="E1" s="1348"/>
      <c r="F1" s="1348"/>
    </row>
    <row r="2" spans="1:6" x14ac:dyDescent="0.25">
      <c r="A2" s="1348" t="s">
        <v>153</v>
      </c>
      <c r="B2" s="1348"/>
      <c r="C2" s="1348"/>
      <c r="D2" s="1348"/>
      <c r="E2" s="1348"/>
      <c r="F2" s="1348"/>
    </row>
    <row r="3" spans="1:6" x14ac:dyDescent="0.25">
      <c r="A3" s="1348" t="s">
        <v>872</v>
      </c>
      <c r="B3" s="1348"/>
      <c r="C3" s="1348"/>
      <c r="D3" s="1348"/>
      <c r="E3" s="1348"/>
      <c r="F3" s="1348"/>
    </row>
    <row r="4" spans="1:6" x14ac:dyDescent="0.25">
      <c r="A4" s="1348"/>
      <c r="B4" s="1348"/>
      <c r="C4" s="1348"/>
      <c r="D4" s="1348"/>
      <c r="E4" s="1348"/>
      <c r="F4" s="1348"/>
    </row>
    <row r="6" spans="1:6" s="40" customFormat="1" ht="16.5" customHeight="1" x14ac:dyDescent="0.25">
      <c r="A6" s="41" t="s">
        <v>10</v>
      </c>
      <c r="B6" s="1349" t="s">
        <v>150</v>
      </c>
      <c r="C6" s="1349"/>
      <c r="D6" s="1349"/>
      <c r="E6" s="41" t="s">
        <v>151</v>
      </c>
      <c r="F6" s="41" t="s">
        <v>152</v>
      </c>
    </row>
    <row r="7" spans="1:6" s="40" customFormat="1" ht="9" customHeight="1" x14ac:dyDescent="0.25">
      <c r="A7" s="42">
        <v>1</v>
      </c>
      <c r="B7" s="1351">
        <v>2</v>
      </c>
      <c r="C7" s="1351"/>
      <c r="D7" s="1351"/>
      <c r="E7" s="42">
        <v>3</v>
      </c>
      <c r="F7" s="42">
        <v>4</v>
      </c>
    </row>
    <row r="8" spans="1:6" s="43" customFormat="1" ht="12" customHeight="1" x14ac:dyDescent="0.25">
      <c r="A8" s="44" t="s">
        <v>155</v>
      </c>
      <c r="B8" s="1354" t="s">
        <v>159</v>
      </c>
      <c r="C8" s="1354"/>
      <c r="D8" s="1354"/>
      <c r="E8" s="45"/>
      <c r="F8" s="46"/>
    </row>
    <row r="9" spans="1:6" s="47" customFormat="1" ht="9" customHeight="1" x14ac:dyDescent="0.25">
      <c r="A9" s="48" t="s">
        <v>157</v>
      </c>
      <c r="B9" s="49"/>
      <c r="C9" s="1352" t="s">
        <v>160</v>
      </c>
      <c r="D9" s="1353"/>
      <c r="E9" s="847">
        <f>E10</f>
        <v>0</v>
      </c>
      <c r="F9" s="51"/>
    </row>
    <row r="10" spans="1:6" s="43" customFormat="1" ht="9" customHeight="1" x14ac:dyDescent="0.25">
      <c r="A10" s="52"/>
      <c r="B10" s="53"/>
      <c r="C10" s="54">
        <v>1</v>
      </c>
      <c r="D10" s="55" t="s">
        <v>171</v>
      </c>
      <c r="E10" s="848">
        <v>0</v>
      </c>
      <c r="F10" s="57" t="s">
        <v>58</v>
      </c>
    </row>
    <row r="11" spans="1:6" s="47" customFormat="1" ht="9" customHeight="1" x14ac:dyDescent="0.25">
      <c r="A11" s="48" t="s">
        <v>156</v>
      </c>
      <c r="B11" s="49"/>
      <c r="C11" s="1352" t="s">
        <v>161</v>
      </c>
      <c r="D11" s="1353"/>
      <c r="E11" s="847">
        <f>SUM(E12:E14)</f>
        <v>2104944087</v>
      </c>
      <c r="F11" s="51"/>
    </row>
    <row r="12" spans="1:6" s="43" customFormat="1" ht="9" customHeight="1" x14ac:dyDescent="0.25">
      <c r="A12" s="52"/>
      <c r="B12" s="53"/>
      <c r="C12" s="58" t="s">
        <v>163</v>
      </c>
      <c r="D12" s="55" t="s">
        <v>167</v>
      </c>
      <c r="E12" s="848">
        <v>694432000</v>
      </c>
      <c r="F12" s="57" t="s">
        <v>25</v>
      </c>
    </row>
    <row r="13" spans="1:6" s="43" customFormat="1" ht="9" customHeight="1" x14ac:dyDescent="0.25">
      <c r="A13" s="52"/>
      <c r="B13" s="53"/>
      <c r="C13" s="58" t="s">
        <v>164</v>
      </c>
      <c r="D13" s="55" t="s">
        <v>168</v>
      </c>
      <c r="E13" s="848">
        <v>1270999000</v>
      </c>
      <c r="F13" s="57" t="s">
        <v>50</v>
      </c>
    </row>
    <row r="14" spans="1:6" s="43" customFormat="1" ht="9" customHeight="1" x14ac:dyDescent="0.25">
      <c r="A14" s="52"/>
      <c r="B14" s="53"/>
      <c r="C14" s="58" t="s">
        <v>165</v>
      </c>
      <c r="D14" s="55" t="s">
        <v>169</v>
      </c>
      <c r="E14" s="848">
        <v>139513087</v>
      </c>
      <c r="F14" s="57" t="s">
        <v>54</v>
      </c>
    </row>
    <row r="15" spans="1:6" s="47" customFormat="1" ht="9" customHeight="1" x14ac:dyDescent="0.25">
      <c r="A15" s="48" t="s">
        <v>158</v>
      </c>
      <c r="B15" s="49"/>
      <c r="C15" s="1352" t="s">
        <v>162</v>
      </c>
      <c r="D15" s="1353"/>
      <c r="E15" s="849">
        <f>SUM(E16:E17)</f>
        <v>7214124</v>
      </c>
      <c r="F15" s="51"/>
    </row>
    <row r="16" spans="1:6" s="43" customFormat="1" ht="9" customHeight="1" x14ac:dyDescent="0.25">
      <c r="A16" s="60"/>
      <c r="B16" s="61"/>
      <c r="C16" s="58" t="s">
        <v>163</v>
      </c>
      <c r="D16" s="55" t="s">
        <v>170</v>
      </c>
      <c r="E16" s="848">
        <v>5000000</v>
      </c>
      <c r="F16" s="57" t="s">
        <v>173</v>
      </c>
    </row>
    <row r="17" spans="1:6" s="47" customFormat="1" ht="10.5" customHeight="1" x14ac:dyDescent="0.25">
      <c r="A17" s="62"/>
      <c r="B17" s="63"/>
      <c r="C17" s="64" t="s">
        <v>164</v>
      </c>
      <c r="D17" s="65" t="s">
        <v>526</v>
      </c>
      <c r="E17" s="850">
        <v>2214124</v>
      </c>
      <c r="F17" s="67" t="s">
        <v>173</v>
      </c>
    </row>
    <row r="18" spans="1:6" ht="12" customHeight="1" x14ac:dyDescent="0.25">
      <c r="A18" s="1350" t="s">
        <v>172</v>
      </c>
      <c r="B18" s="1350"/>
      <c r="C18" s="1350"/>
      <c r="D18" s="1350"/>
      <c r="E18" s="68">
        <f>E15+E11+E9</f>
        <v>2112158211</v>
      </c>
      <c r="F18" s="69"/>
    </row>
    <row r="19" spans="1:6" x14ac:dyDescent="0.25">
      <c r="A19" s="70"/>
      <c r="B19" s="70"/>
      <c r="C19" s="71"/>
    </row>
    <row r="20" spans="1:6" x14ac:dyDescent="0.25">
      <c r="A20" s="70"/>
      <c r="B20" s="70"/>
      <c r="C20" s="71"/>
    </row>
    <row r="21" spans="1:6" x14ac:dyDescent="0.25">
      <c r="A21" s="70"/>
      <c r="B21" s="70"/>
      <c r="C21" s="71"/>
    </row>
    <row r="22" spans="1:6" x14ac:dyDescent="0.25">
      <c r="A22" s="70"/>
      <c r="B22" s="70"/>
      <c r="C22" s="71"/>
    </row>
    <row r="23" spans="1:6" x14ac:dyDescent="0.25">
      <c r="A23" s="70"/>
      <c r="B23" s="70"/>
      <c r="C23" s="71"/>
    </row>
    <row r="24" spans="1:6" x14ac:dyDescent="0.25">
      <c r="A24" s="70"/>
      <c r="B24" s="70"/>
      <c r="C24" s="71"/>
    </row>
    <row r="25" spans="1:6" x14ac:dyDescent="0.25">
      <c r="A25" s="70"/>
      <c r="B25" s="70"/>
      <c r="C25" s="71"/>
    </row>
    <row r="26" spans="1:6" x14ac:dyDescent="0.25">
      <c r="A26" s="70"/>
      <c r="B26" s="70"/>
      <c r="C26" s="71"/>
    </row>
    <row r="27" spans="1:6" x14ac:dyDescent="0.25">
      <c r="A27" s="70"/>
      <c r="B27" s="70"/>
      <c r="C27" s="71"/>
    </row>
    <row r="28" spans="1:6" x14ac:dyDescent="0.25">
      <c r="A28" s="70"/>
      <c r="B28" s="70"/>
      <c r="C28" s="71"/>
    </row>
    <row r="29" spans="1:6" x14ac:dyDescent="0.25">
      <c r="A29" s="70"/>
      <c r="B29" s="70"/>
      <c r="C29" s="71"/>
    </row>
    <row r="30" spans="1:6" x14ac:dyDescent="0.25">
      <c r="A30" s="70"/>
      <c r="B30" s="70"/>
      <c r="C30" s="71"/>
    </row>
    <row r="31" spans="1:6" x14ac:dyDescent="0.25">
      <c r="A31" s="70"/>
      <c r="B31" s="70"/>
      <c r="C31" s="71"/>
    </row>
  </sheetData>
  <mergeCells count="11">
    <mergeCell ref="A18:D18"/>
    <mergeCell ref="B7:D7"/>
    <mergeCell ref="C9:D9"/>
    <mergeCell ref="B8:D8"/>
    <mergeCell ref="C11:D11"/>
    <mergeCell ref="C15:D15"/>
    <mergeCell ref="A1:F1"/>
    <mergeCell ref="A4:F4"/>
    <mergeCell ref="A3:F3"/>
    <mergeCell ref="A2:F2"/>
    <mergeCell ref="B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F4979"/>
  </sheetPr>
  <dimension ref="A1:S23"/>
  <sheetViews>
    <sheetView zoomScale="195" workbookViewId="0">
      <selection activeCell="I15" sqref="I15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3" style="72" customWidth="1"/>
    <col min="10" max="10" width="14.33203125" style="72" customWidth="1"/>
    <col min="11" max="11" width="9.33203125" style="72"/>
    <col min="12" max="12" width="17.77734375" style="72" bestFit="1" customWidth="1"/>
    <col min="13" max="13" width="11" style="72" customWidth="1"/>
    <col min="14" max="14" width="18.6640625" style="72" customWidth="1"/>
    <col min="15" max="16384" width="9.33203125" style="72"/>
  </cols>
  <sheetData>
    <row r="1" spans="1:19" x14ac:dyDescent="0.25">
      <c r="A1" s="1374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426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1057</v>
      </c>
      <c r="M2" s="1367"/>
      <c r="N2" s="75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/>
      <c r="M3" s="1366"/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/>
      <c r="M4" s="1366"/>
      <c r="N4" s="1366"/>
    </row>
    <row r="5" spans="1:19" ht="13.5" customHeight="1" x14ac:dyDescent="0.25">
      <c r="A5" s="77"/>
      <c r="B5" s="77"/>
      <c r="C5" s="76"/>
      <c r="D5" s="1382"/>
      <c r="E5" s="1382"/>
      <c r="F5" s="1382"/>
      <c r="G5" s="1382"/>
      <c r="H5" s="1382"/>
      <c r="I5" s="1382"/>
      <c r="J5" s="1382"/>
    </row>
    <row r="6" spans="1:19" ht="15" customHeight="1" x14ac:dyDescent="0.25">
      <c r="A6" s="1364" t="s">
        <v>10</v>
      </c>
      <c r="B6" s="1376" t="s">
        <v>12</v>
      </c>
      <c r="C6" s="1377"/>
      <c r="D6" s="1377"/>
      <c r="E6" s="1377"/>
      <c r="F6" s="1377"/>
      <c r="G6" s="1376" t="s">
        <v>8</v>
      </c>
      <c r="H6" s="1377"/>
      <c r="I6" s="1377"/>
      <c r="J6" s="1378"/>
    </row>
    <row r="7" spans="1:19" s="79" customFormat="1" ht="23.25" customHeight="1" x14ac:dyDescent="0.25">
      <c r="A7" s="1365"/>
      <c r="B7" s="1383"/>
      <c r="C7" s="1384"/>
      <c r="D7" s="1384"/>
      <c r="E7" s="1384"/>
      <c r="F7" s="1384"/>
      <c r="G7" s="1375" t="s">
        <v>13</v>
      </c>
      <c r="H7" s="1375"/>
      <c r="I7" s="80" t="s">
        <v>14</v>
      </c>
      <c r="J7" s="81" t="s">
        <v>15</v>
      </c>
    </row>
    <row r="8" spans="1:19" s="79" customFormat="1" ht="9" customHeight="1" x14ac:dyDescent="0.25">
      <c r="A8" s="82">
        <v>1</v>
      </c>
      <c r="B8" s="1379">
        <v>2</v>
      </c>
      <c r="C8" s="1380"/>
      <c r="D8" s="1380"/>
      <c r="E8" s="1380"/>
      <c r="F8" s="1381"/>
      <c r="G8" s="1385">
        <v>3</v>
      </c>
      <c r="H8" s="1386"/>
      <c r="I8" s="82">
        <v>4</v>
      </c>
      <c r="J8" s="82">
        <v>5</v>
      </c>
    </row>
    <row r="9" spans="1:19" ht="17.100000000000001" customHeight="1" x14ac:dyDescent="0.25">
      <c r="A9" s="83">
        <v>6</v>
      </c>
      <c r="B9" s="1368" t="s">
        <v>427</v>
      </c>
      <c r="C9" s="1369"/>
      <c r="D9" s="1369"/>
      <c r="E9" s="1369"/>
      <c r="F9" s="1370"/>
      <c r="G9" s="85"/>
      <c r="H9" s="86"/>
      <c r="I9" s="1189"/>
      <c r="J9" s="1193">
        <f>J10</f>
        <v>197166973</v>
      </c>
      <c r="L9" s="35"/>
    </row>
    <row r="10" spans="1:19" ht="15.15" customHeight="1" x14ac:dyDescent="0.25">
      <c r="A10" s="89" t="s">
        <v>423</v>
      </c>
      <c r="B10" s="1371" t="s">
        <v>424</v>
      </c>
      <c r="C10" s="1372"/>
      <c r="D10" s="1372"/>
      <c r="E10" s="92"/>
      <c r="F10" s="93"/>
      <c r="G10" s="94"/>
      <c r="H10" s="95"/>
      <c r="I10" s="1166"/>
      <c r="J10" s="1190">
        <f>J11</f>
        <v>197166973</v>
      </c>
      <c r="L10" s="98"/>
      <c r="M10" s="98"/>
      <c r="N10" s="98"/>
      <c r="O10" s="98"/>
      <c r="P10" s="98"/>
      <c r="Q10" s="98"/>
      <c r="R10" s="98"/>
      <c r="S10" s="98"/>
    </row>
    <row r="11" spans="1:19" ht="14.1" customHeight="1" x14ac:dyDescent="0.25">
      <c r="A11" s="99" t="s">
        <v>425</v>
      </c>
      <c r="B11" s="100"/>
      <c r="C11" s="1361" t="s">
        <v>428</v>
      </c>
      <c r="D11" s="1361"/>
      <c r="E11" s="102"/>
      <c r="F11" s="103"/>
      <c r="G11" s="104"/>
      <c r="H11" s="95"/>
      <c r="I11" s="1191"/>
      <c r="J11" s="1171">
        <f>SUM(J12:J15)</f>
        <v>197166973</v>
      </c>
      <c r="L11" s="1363" t="s">
        <v>513</v>
      </c>
      <c r="M11" s="1363"/>
      <c r="N11" s="1363"/>
      <c r="O11" s="1363"/>
      <c r="P11" s="98"/>
      <c r="Q11" s="98"/>
      <c r="R11" s="98"/>
      <c r="S11" s="98"/>
    </row>
    <row r="12" spans="1:19" ht="13.5" customHeight="1" x14ac:dyDescent="0.25">
      <c r="A12" s="107"/>
      <c r="B12" s="108"/>
      <c r="C12" s="109" t="s">
        <v>123</v>
      </c>
      <c r="D12" s="102" t="s">
        <v>429</v>
      </c>
      <c r="E12" s="110" t="s">
        <v>25</v>
      </c>
      <c r="F12" s="111"/>
      <c r="G12" s="112">
        <v>1</v>
      </c>
      <c r="H12" s="113" t="s">
        <v>177</v>
      </c>
      <c r="I12" s="1166">
        <v>141150958</v>
      </c>
      <c r="J12" s="1190">
        <f>I12*G12</f>
        <v>141150958</v>
      </c>
      <c r="L12" s="1373">
        <f>J12-N2</f>
        <v>141150958</v>
      </c>
      <c r="M12" s="1373"/>
      <c r="N12" s="115"/>
      <c r="O12" s="115"/>
      <c r="P12" s="98"/>
      <c r="Q12" s="98"/>
      <c r="R12" s="98"/>
      <c r="S12" s="98"/>
    </row>
    <row r="13" spans="1:19" x14ac:dyDescent="0.25">
      <c r="A13" s="107"/>
      <c r="B13" s="108"/>
      <c r="C13" s="109" t="s">
        <v>124</v>
      </c>
      <c r="D13" s="102" t="s">
        <v>430</v>
      </c>
      <c r="E13" s="110" t="s">
        <v>50</v>
      </c>
      <c r="F13" s="111"/>
      <c r="G13" s="116">
        <v>1</v>
      </c>
      <c r="H13" s="117" t="s">
        <v>177</v>
      </c>
      <c r="I13" s="1166">
        <v>500000</v>
      </c>
      <c r="J13" s="1190">
        <f>I13*G13</f>
        <v>500000</v>
      </c>
      <c r="L13" s="98"/>
      <c r="M13" s="98"/>
      <c r="N13" s="98"/>
      <c r="O13" s="98"/>
      <c r="P13" s="98"/>
      <c r="Q13" s="98"/>
      <c r="R13" s="98"/>
      <c r="S13" s="98"/>
    </row>
    <row r="14" spans="1:19" ht="13.5" customHeight="1" x14ac:dyDescent="0.25">
      <c r="A14" s="107"/>
      <c r="B14" s="108"/>
      <c r="C14" s="109" t="s">
        <v>125</v>
      </c>
      <c r="D14" s="102" t="s">
        <v>431</v>
      </c>
      <c r="E14" s="110" t="s">
        <v>54</v>
      </c>
      <c r="F14" s="111"/>
      <c r="G14" s="116">
        <v>1</v>
      </c>
      <c r="H14" s="117" t="s">
        <v>177</v>
      </c>
      <c r="I14" s="1166">
        <v>37755495</v>
      </c>
      <c r="J14" s="1190">
        <f>I14*G14</f>
        <v>37755495</v>
      </c>
      <c r="L14" s="98"/>
      <c r="M14" s="98"/>
      <c r="N14" s="98"/>
      <c r="O14" s="98"/>
      <c r="P14" s="98"/>
      <c r="Q14" s="98"/>
      <c r="R14" s="98"/>
      <c r="S14" s="98"/>
    </row>
    <row r="15" spans="1:19" ht="13.5" customHeight="1" x14ac:dyDescent="0.25">
      <c r="A15" s="119"/>
      <c r="B15" s="120"/>
      <c r="C15" s="121" t="s">
        <v>126</v>
      </c>
      <c r="D15" s="122" t="s">
        <v>432</v>
      </c>
      <c r="E15" s="123" t="s">
        <v>173</v>
      </c>
      <c r="F15" s="124"/>
      <c r="G15" s="125">
        <v>1</v>
      </c>
      <c r="H15" s="126" t="s">
        <v>177</v>
      </c>
      <c r="I15" s="1191">
        <v>17760520</v>
      </c>
      <c r="J15" s="1171">
        <f>I15*G15</f>
        <v>17760520</v>
      </c>
      <c r="L15" s="98"/>
      <c r="M15" s="98"/>
      <c r="N15" s="98"/>
      <c r="O15" s="98"/>
      <c r="P15" s="98"/>
      <c r="Q15" s="98"/>
      <c r="R15" s="98"/>
      <c r="S15" s="98"/>
    </row>
    <row r="16" spans="1:19" s="79" customFormat="1" ht="20.85" customHeight="1" x14ac:dyDescent="0.25">
      <c r="A16" s="127"/>
      <c r="B16" s="1357" t="s">
        <v>15</v>
      </c>
      <c r="C16" s="1358"/>
      <c r="D16" s="1358"/>
      <c r="E16" s="1358"/>
      <c r="F16" s="80"/>
      <c r="G16" s="1357"/>
      <c r="H16" s="1362"/>
      <c r="I16" s="1166"/>
      <c r="J16" s="1192">
        <f>J9</f>
        <v>197166973</v>
      </c>
    </row>
    <row r="17" spans="1:10" s="79" customFormat="1" ht="9.75" customHeight="1" x14ac:dyDescent="0.25">
      <c r="A17" s="128"/>
      <c r="B17" s="128"/>
      <c r="C17" s="129"/>
      <c r="D17" s="78"/>
      <c r="E17" s="78"/>
      <c r="F17" s="78"/>
      <c r="G17" s="78"/>
      <c r="H17" s="78"/>
      <c r="I17" s="128"/>
      <c r="J17" s="130"/>
    </row>
    <row r="18" spans="1:10" s="79" customFormat="1" ht="14.25" customHeight="1" x14ac:dyDescent="0.25">
      <c r="A18" s="131"/>
      <c r="B18" s="131"/>
      <c r="C18" s="109"/>
      <c r="D18" s="132"/>
      <c r="E18" s="132"/>
      <c r="F18" s="132"/>
      <c r="G18" s="1359" t="s">
        <v>1002</v>
      </c>
      <c r="H18" s="1360"/>
      <c r="I18" s="1360"/>
      <c r="J18" s="1360"/>
    </row>
    <row r="19" spans="1:10" s="133" customFormat="1" ht="15" customHeight="1" x14ac:dyDescent="0.25">
      <c r="A19" s="1356" t="s">
        <v>11</v>
      </c>
      <c r="B19" s="1356"/>
      <c r="C19" s="1356"/>
      <c r="D19" s="1356"/>
      <c r="E19" s="134"/>
      <c r="F19" s="134"/>
      <c r="G19" s="1356" t="s">
        <v>433</v>
      </c>
      <c r="H19" s="1356"/>
      <c r="I19" s="1356"/>
      <c r="J19" s="1356"/>
    </row>
    <row r="23" spans="1:10" s="74" customFormat="1" ht="10.199999999999999" x14ac:dyDescent="0.25">
      <c r="A23" s="1355" t="s">
        <v>1000</v>
      </c>
      <c r="B23" s="1355"/>
      <c r="C23" s="1355"/>
      <c r="D23" s="1355"/>
      <c r="G23" s="1355" t="s">
        <v>434</v>
      </c>
      <c r="H23" s="1355"/>
      <c r="I23" s="1355"/>
      <c r="J23" s="1355"/>
    </row>
  </sheetData>
  <mergeCells count="25">
    <mergeCell ref="A1:J1"/>
    <mergeCell ref="G7:H7"/>
    <mergeCell ref="G6:J6"/>
    <mergeCell ref="B8:F8"/>
    <mergeCell ref="D5:J5"/>
    <mergeCell ref="B6:F7"/>
    <mergeCell ref="A3:J3"/>
    <mergeCell ref="G8:H8"/>
    <mergeCell ref="C11:D11"/>
    <mergeCell ref="G16:H16"/>
    <mergeCell ref="G19:J19"/>
    <mergeCell ref="L11:O11"/>
    <mergeCell ref="A2:J2"/>
    <mergeCell ref="A6:A7"/>
    <mergeCell ref="M3:N3"/>
    <mergeCell ref="L2:M2"/>
    <mergeCell ref="M4:N4"/>
    <mergeCell ref="B9:F9"/>
    <mergeCell ref="B10:D10"/>
    <mergeCell ref="L12:M12"/>
    <mergeCell ref="A23:D23"/>
    <mergeCell ref="A19:D19"/>
    <mergeCell ref="B16:E16"/>
    <mergeCell ref="G23:J23"/>
    <mergeCell ref="G18:J18"/>
  </mergeCells>
  <pageMargins left="0.8" right="0.65" top="0.68" bottom="0.75" header="0.3" footer="0.3"/>
  <pageSetup paperSize="14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F4979"/>
  </sheetPr>
  <dimension ref="A1:S20"/>
  <sheetViews>
    <sheetView zoomScale="148" workbookViewId="0">
      <selection activeCell="O15" sqref="O15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3.109375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0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435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/>
      <c r="M2" s="1367"/>
      <c r="N2" s="1367"/>
    </row>
    <row r="3" spans="1:19" ht="13.5" customHeight="1" x14ac:dyDescent="0.25">
      <c r="A3" s="1360" t="s">
        <v>24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/>
      <c r="M3" s="1366"/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/>
      <c r="M4" s="1366"/>
      <c r="N4" s="1366"/>
    </row>
    <row r="5" spans="1:19" ht="13.5" customHeight="1" x14ac:dyDescent="0.25">
      <c r="A5" s="77"/>
      <c r="B5" s="77"/>
      <c r="C5" s="76"/>
      <c r="D5" s="1382"/>
      <c r="E5" s="1382"/>
      <c r="F5" s="1382"/>
      <c r="G5" s="1382"/>
      <c r="H5" s="1382"/>
      <c r="I5" s="1382"/>
      <c r="J5" s="1382"/>
    </row>
    <row r="6" spans="1:19" ht="15" customHeight="1" x14ac:dyDescent="0.25">
      <c r="A6" s="1364" t="s">
        <v>10</v>
      </c>
      <c r="B6" s="1376" t="s">
        <v>12</v>
      </c>
      <c r="C6" s="1377"/>
      <c r="D6" s="1377"/>
      <c r="E6" s="1377"/>
      <c r="F6" s="1377"/>
      <c r="G6" s="1376" t="s">
        <v>8</v>
      </c>
      <c r="H6" s="1377"/>
      <c r="I6" s="1377"/>
      <c r="J6" s="1378"/>
    </row>
    <row r="7" spans="1:19" s="79" customFormat="1" ht="23.25" customHeight="1" x14ac:dyDescent="0.25">
      <c r="A7" s="1365"/>
      <c r="B7" s="1383"/>
      <c r="C7" s="1384"/>
      <c r="D7" s="1384"/>
      <c r="E7" s="1384"/>
      <c r="F7" s="1384"/>
      <c r="G7" s="1375" t="s">
        <v>13</v>
      </c>
      <c r="H7" s="1375"/>
      <c r="I7" s="80" t="s">
        <v>14</v>
      </c>
      <c r="J7" s="81" t="s">
        <v>15</v>
      </c>
    </row>
    <row r="8" spans="1:19" s="79" customFormat="1" ht="9" customHeight="1" x14ac:dyDescent="0.25">
      <c r="A8" s="82">
        <v>1</v>
      </c>
      <c r="B8" s="1379">
        <v>2</v>
      </c>
      <c r="C8" s="1380"/>
      <c r="D8" s="1380"/>
      <c r="E8" s="1380"/>
      <c r="F8" s="1381"/>
      <c r="G8" s="1385">
        <v>3</v>
      </c>
      <c r="H8" s="1386"/>
      <c r="I8" s="82">
        <v>4</v>
      </c>
      <c r="J8" s="82">
        <v>5</v>
      </c>
    </row>
    <row r="9" spans="1:19" ht="17.100000000000001" customHeight="1" x14ac:dyDescent="0.25">
      <c r="A9" s="83">
        <v>6</v>
      </c>
      <c r="B9" s="1368" t="s">
        <v>427</v>
      </c>
      <c r="C9" s="1369"/>
      <c r="D9" s="1369"/>
      <c r="E9" s="1369"/>
      <c r="F9" s="1370"/>
      <c r="G9" s="85"/>
      <c r="H9" s="86"/>
      <c r="I9" s="87"/>
      <c r="J9" s="88">
        <f>J10</f>
        <v>254500000</v>
      </c>
    </row>
    <row r="10" spans="1:19" ht="15.15" customHeight="1" x14ac:dyDescent="0.25">
      <c r="A10" s="89" t="s">
        <v>423</v>
      </c>
      <c r="B10" s="1371" t="s">
        <v>1067</v>
      </c>
      <c r="C10" s="1372"/>
      <c r="D10" s="1372"/>
      <c r="E10" s="92"/>
      <c r="F10" s="93"/>
      <c r="G10" s="94"/>
      <c r="H10" s="95"/>
      <c r="I10" s="96"/>
      <c r="J10" s="97">
        <f>J11</f>
        <v>254500000</v>
      </c>
      <c r="L10" s="1387"/>
      <c r="M10" s="1387"/>
      <c r="N10" s="1387"/>
      <c r="O10" s="1387"/>
      <c r="P10" s="1387"/>
      <c r="Q10" s="1387"/>
      <c r="R10" s="1387"/>
      <c r="S10" s="1387"/>
    </row>
    <row r="11" spans="1:19" ht="14.1" customHeight="1" x14ac:dyDescent="0.25">
      <c r="A11" s="99" t="s">
        <v>425</v>
      </c>
      <c r="B11" s="100"/>
      <c r="C11" s="1361" t="s">
        <v>428</v>
      </c>
      <c r="D11" s="1361"/>
      <c r="E11" s="102"/>
      <c r="F11" s="103"/>
      <c r="G11" s="104"/>
      <c r="H11" s="95"/>
      <c r="I11" s="105"/>
      <c r="J11" s="106">
        <f>SUM(J12:J12)</f>
        <v>254500000</v>
      </c>
      <c r="L11" s="1387"/>
      <c r="M11" s="1387"/>
      <c r="N11" s="1387"/>
      <c r="O11" s="1387"/>
      <c r="P11" s="1387"/>
      <c r="Q11" s="1387"/>
      <c r="R11" s="1387"/>
      <c r="S11" s="1387"/>
    </row>
    <row r="12" spans="1:19" ht="13.5" customHeight="1" x14ac:dyDescent="0.25">
      <c r="A12" s="107"/>
      <c r="B12" s="108"/>
      <c r="C12" s="109" t="s">
        <v>123</v>
      </c>
      <c r="D12" s="102" t="s">
        <v>684</v>
      </c>
      <c r="E12" s="110" t="s">
        <v>50</v>
      </c>
      <c r="F12" s="111"/>
      <c r="G12" s="112">
        <v>1</v>
      </c>
      <c r="H12" s="113" t="s">
        <v>524</v>
      </c>
      <c r="I12" s="114">
        <v>254500000</v>
      </c>
      <c r="J12" s="114">
        <f>I12*G12</f>
        <v>254500000</v>
      </c>
      <c r="L12" s="1387"/>
      <c r="M12" s="1387"/>
      <c r="N12" s="1387"/>
      <c r="O12" s="1387"/>
      <c r="P12" s="1387"/>
      <c r="Q12" s="1387"/>
      <c r="R12" s="1387"/>
      <c r="S12" s="1387"/>
    </row>
    <row r="13" spans="1:19" s="79" customFormat="1" ht="20.85" customHeight="1" x14ac:dyDescent="0.25">
      <c r="A13" s="127"/>
      <c r="B13" s="1357" t="s">
        <v>15</v>
      </c>
      <c r="C13" s="1358"/>
      <c r="D13" s="1358"/>
      <c r="E13" s="1358"/>
      <c r="F13" s="80"/>
      <c r="G13" s="1357"/>
      <c r="H13" s="1362"/>
      <c r="I13" s="127"/>
      <c r="J13" s="88">
        <f>J9</f>
        <v>254500000</v>
      </c>
    </row>
    <row r="14" spans="1:19" s="79" customFormat="1" ht="9.75" customHeight="1" x14ac:dyDescent="0.25">
      <c r="A14" s="128"/>
      <c r="B14" s="128"/>
      <c r="C14" s="129"/>
      <c r="D14" s="78"/>
      <c r="E14" s="78"/>
      <c r="F14" s="78"/>
      <c r="G14" s="78"/>
      <c r="H14" s="78"/>
      <c r="I14" s="128"/>
      <c r="J14" s="130"/>
    </row>
    <row r="15" spans="1:19" s="79" customFormat="1" ht="14.25" customHeight="1" x14ac:dyDescent="0.25">
      <c r="A15" s="131"/>
      <c r="B15" s="131"/>
      <c r="C15" s="109"/>
      <c r="D15" s="132"/>
      <c r="E15" s="132"/>
      <c r="F15" s="132"/>
      <c r="G15" s="1359" t="s">
        <v>1002</v>
      </c>
      <c r="H15" s="1360"/>
      <c r="I15" s="1360"/>
      <c r="J15" s="1360"/>
    </row>
    <row r="16" spans="1:19" s="133" customFormat="1" ht="15" customHeight="1" x14ac:dyDescent="0.25">
      <c r="A16" s="1356" t="s">
        <v>11</v>
      </c>
      <c r="B16" s="1356"/>
      <c r="C16" s="1356"/>
      <c r="D16" s="1356"/>
      <c r="E16" s="134"/>
      <c r="F16" s="134"/>
      <c r="G16" s="1356" t="s">
        <v>433</v>
      </c>
      <c r="H16" s="1356"/>
      <c r="I16" s="1356"/>
      <c r="J16" s="1356"/>
    </row>
    <row r="20" spans="1:10" s="74" customFormat="1" ht="10.199999999999999" x14ac:dyDescent="0.25">
      <c r="A20" s="1355" t="s">
        <v>1000</v>
      </c>
      <c r="B20" s="1355"/>
      <c r="C20" s="1355"/>
      <c r="D20" s="1355"/>
      <c r="G20" s="1355" t="s">
        <v>434</v>
      </c>
      <c r="H20" s="1355"/>
      <c r="I20" s="1355"/>
      <c r="J20" s="1355"/>
    </row>
  </sheetData>
  <mergeCells count="24">
    <mergeCell ref="M3:N3"/>
    <mergeCell ref="B13:E13"/>
    <mergeCell ref="G20:J20"/>
    <mergeCell ref="A1:J1"/>
    <mergeCell ref="A2:J2"/>
    <mergeCell ref="G13:H13"/>
    <mergeCell ref="G6:J6"/>
    <mergeCell ref="B8:F8"/>
    <mergeCell ref="B10:D10"/>
    <mergeCell ref="A3:J3"/>
    <mergeCell ref="L2:N2"/>
    <mergeCell ref="M4:N4"/>
    <mergeCell ref="D5:J5"/>
    <mergeCell ref="G16:J16"/>
    <mergeCell ref="A6:A7"/>
    <mergeCell ref="A20:D20"/>
    <mergeCell ref="G15:J15"/>
    <mergeCell ref="L10:S12"/>
    <mergeCell ref="A16:D16"/>
    <mergeCell ref="G7:H7"/>
    <mergeCell ref="B6:F7"/>
    <mergeCell ref="B9:F9"/>
    <mergeCell ref="G8:H8"/>
    <mergeCell ref="C11:D11"/>
  </mergeCells>
  <pageMargins left="0.8" right="0.65" top="0.68" bottom="0.75" header="0.3" footer="0.3"/>
  <pageSetup paperSize="14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2D69B"/>
  </sheetPr>
  <dimension ref="A1:J38"/>
  <sheetViews>
    <sheetView topLeftCell="A5" zoomScale="230" zoomScaleNormal="230" workbookViewId="0">
      <selection activeCell="F20" sqref="F20"/>
    </sheetView>
  </sheetViews>
  <sheetFormatPr defaultColWidth="9.33203125" defaultRowHeight="9.6" x14ac:dyDescent="0.25"/>
  <cols>
    <col min="1" max="1" width="7.33203125" style="37" customWidth="1"/>
    <col min="2" max="2" width="2.77734375" style="37" customWidth="1"/>
    <col min="3" max="3" width="2.77734375" style="38" customWidth="1"/>
    <col min="4" max="4" width="33.6640625" style="39" customWidth="1"/>
    <col min="5" max="5" width="19" style="39" customWidth="1"/>
    <col min="6" max="6" width="18" style="39" customWidth="1"/>
    <col min="7" max="7" width="16.77734375" style="39" customWidth="1"/>
    <col min="8" max="8" width="14.33203125" style="37" customWidth="1"/>
    <col min="9" max="9" width="9.33203125" style="39"/>
    <col min="10" max="10" width="15.33203125" style="39" bestFit="1" customWidth="1"/>
    <col min="11" max="16384" width="9.33203125" style="39"/>
  </cols>
  <sheetData>
    <row r="1" spans="1:8" x14ac:dyDescent="0.25">
      <c r="A1" s="1348" t="s">
        <v>379</v>
      </c>
      <c r="B1" s="1348"/>
      <c r="C1" s="1348"/>
      <c r="D1" s="1348"/>
      <c r="E1" s="1348"/>
      <c r="F1" s="1348"/>
      <c r="G1" s="1348"/>
      <c r="H1" s="1348"/>
    </row>
    <row r="2" spans="1:8" x14ac:dyDescent="0.25">
      <c r="A2" s="1348" t="s">
        <v>153</v>
      </c>
      <c r="B2" s="1348"/>
      <c r="C2" s="1348"/>
      <c r="D2" s="1348"/>
      <c r="E2" s="1348"/>
      <c r="F2" s="1348"/>
      <c r="G2" s="1348"/>
      <c r="H2" s="1348"/>
    </row>
    <row r="3" spans="1:8" x14ac:dyDescent="0.25">
      <c r="A3" s="1348" t="s">
        <v>872</v>
      </c>
      <c r="B3" s="1348"/>
      <c r="C3" s="1348"/>
      <c r="D3" s="1348"/>
      <c r="E3" s="1348"/>
      <c r="F3" s="1348"/>
      <c r="G3" s="1348"/>
      <c r="H3" s="1348"/>
    </row>
    <row r="4" spans="1:8" x14ac:dyDescent="0.25">
      <c r="A4" s="1348"/>
      <c r="B4" s="1348"/>
      <c r="C4" s="1348"/>
      <c r="D4" s="1348"/>
      <c r="E4" s="1348"/>
      <c r="F4" s="1348"/>
      <c r="G4" s="1348"/>
      <c r="H4" s="1348"/>
    </row>
    <row r="6" spans="1:8" s="40" customFormat="1" ht="16.5" customHeight="1" x14ac:dyDescent="0.25">
      <c r="A6" s="41" t="s">
        <v>10</v>
      </c>
      <c r="B6" s="1394" t="s">
        <v>150</v>
      </c>
      <c r="C6" s="1395"/>
      <c r="D6" s="1396"/>
      <c r="E6" s="41" t="s">
        <v>151</v>
      </c>
      <c r="F6" s="41" t="s">
        <v>174</v>
      </c>
      <c r="G6" s="41" t="s">
        <v>175</v>
      </c>
      <c r="H6" s="41" t="s">
        <v>152</v>
      </c>
    </row>
    <row r="7" spans="1:8" s="40" customFormat="1" ht="9" customHeight="1" x14ac:dyDescent="0.25">
      <c r="A7" s="42">
        <v>1</v>
      </c>
      <c r="B7" s="1391">
        <v>2</v>
      </c>
      <c r="C7" s="1392"/>
      <c r="D7" s="1393"/>
      <c r="E7" s="42">
        <v>3</v>
      </c>
      <c r="F7" s="42">
        <v>4</v>
      </c>
      <c r="G7" s="42">
        <v>5</v>
      </c>
      <c r="H7" s="42">
        <v>6</v>
      </c>
    </row>
    <row r="8" spans="1:8" s="43" customFormat="1" ht="12" customHeight="1" x14ac:dyDescent="0.25">
      <c r="A8" s="44" t="s">
        <v>155</v>
      </c>
      <c r="B8" s="1388" t="s">
        <v>159</v>
      </c>
      <c r="C8" s="1389"/>
      <c r="D8" s="1390"/>
      <c r="E8" s="45"/>
      <c r="F8" s="45"/>
      <c r="G8" s="45"/>
      <c r="H8" s="46"/>
    </row>
    <row r="9" spans="1:8" s="47" customFormat="1" ht="9" customHeight="1" x14ac:dyDescent="0.25">
      <c r="A9" s="48" t="s">
        <v>157</v>
      </c>
      <c r="B9" s="49"/>
      <c r="C9" s="1352" t="s">
        <v>160</v>
      </c>
      <c r="D9" s="1353"/>
      <c r="E9" s="50">
        <f>E10</f>
        <v>2000000</v>
      </c>
      <c r="F9" s="50"/>
      <c r="G9" s="50">
        <f>G10</f>
        <v>0</v>
      </c>
      <c r="H9" s="51"/>
    </row>
    <row r="10" spans="1:8" s="43" customFormat="1" ht="9" customHeight="1" x14ac:dyDescent="0.25">
      <c r="A10" s="52"/>
      <c r="B10" s="53"/>
      <c r="C10" s="54">
        <v>1</v>
      </c>
      <c r="D10" s="55" t="s">
        <v>171</v>
      </c>
      <c r="E10" s="56">
        <v>2000000</v>
      </c>
      <c r="F10" s="56">
        <f>2000000</f>
        <v>2000000</v>
      </c>
      <c r="G10" s="56">
        <f>E10-F10</f>
        <v>0</v>
      </c>
      <c r="H10" s="57" t="s">
        <v>58</v>
      </c>
    </row>
    <row r="11" spans="1:8" s="47" customFormat="1" ht="9" customHeight="1" x14ac:dyDescent="0.25">
      <c r="A11" s="48" t="s">
        <v>156</v>
      </c>
      <c r="B11" s="49"/>
      <c r="C11" s="1352" t="s">
        <v>161</v>
      </c>
      <c r="D11" s="1353"/>
      <c r="E11" s="50">
        <f>SUM(E12:E14)</f>
        <v>2104944087</v>
      </c>
      <c r="F11" s="50"/>
      <c r="G11" s="50">
        <f>SUM(G12:G14)</f>
        <v>143562171</v>
      </c>
      <c r="H11" s="51"/>
    </row>
    <row r="12" spans="1:8" s="43" customFormat="1" ht="9" customHeight="1" x14ac:dyDescent="0.25">
      <c r="A12" s="52"/>
      <c r="B12" s="53"/>
      <c r="C12" s="58" t="s">
        <v>163</v>
      </c>
      <c r="D12" s="55" t="s">
        <v>167</v>
      </c>
      <c r="E12" s="56">
        <f>'PENDAPATAN DESA'!E12</f>
        <v>694432000</v>
      </c>
      <c r="F12" s="56">
        <f>KADES!K3+PERANGKAT!M3+BPJS!M3+'OPS PEMDES'!M3+BPD!M3+'OPS BPD'!M3+'RT RW'!M3+'SARPRAS KANTOR DESA'!M5+'OPS LPMD'!M4+'OPS PKK'!M4</f>
        <v>712241216</v>
      </c>
      <c r="G12" s="56">
        <f>E12-F12</f>
        <v>-17809216</v>
      </c>
      <c r="H12" s="57" t="s">
        <v>25</v>
      </c>
    </row>
    <row r="13" spans="1:8" s="43" customFormat="1" ht="9" customHeight="1" x14ac:dyDescent="0.25">
      <c r="A13" s="52"/>
      <c r="B13" s="53"/>
      <c r="C13" s="58" t="s">
        <v>164</v>
      </c>
      <c r="D13" s="55" t="s">
        <v>168</v>
      </c>
      <c r="E13" s="56">
        <f>'PENDAPATAN DESA'!E13</f>
        <v>1270999000</v>
      </c>
      <c r="F13" s="56">
        <f>'OPS PEMDES'!M4+'OPS PEMDES 3%'!M4+'SUN RKP'!M4+'Sun APBDes'!M4+'PAUD TPQ'!J18+'SARPRAS POSYANDU'!M2+POSYANDU!M3+'RT 02 RW 01'!J3+'RW 2'!O2+'RT 15 RW 3'!N3+'RW 04.'!T4+'RW 5'!T3+'RW 06'!I2+'RW 07'!Q2+PKTD!U4+'OPS KIM'!M3+'OPS KESENIAN'!M3+'BLT DD'!M3+'PENGELUARAN PEMBIAYAAN'!J13+'OPS RW'!M5+'OPS PB. PANDANLANDUNG'!M3+KDMP!M3</f>
        <v>1101995700</v>
      </c>
      <c r="G13" s="56">
        <f>E13-F13</f>
        <v>169003300</v>
      </c>
      <c r="H13" s="57" t="s">
        <v>50</v>
      </c>
    </row>
    <row r="14" spans="1:8" s="43" customFormat="1" ht="9" customHeight="1" x14ac:dyDescent="0.25">
      <c r="A14" s="52"/>
      <c r="B14" s="53"/>
      <c r="C14" s="58" t="s">
        <v>165</v>
      </c>
      <c r="D14" s="55" t="s">
        <v>169</v>
      </c>
      <c r="E14" s="56">
        <f>'PENDAPATAN DESA'!E14</f>
        <v>139513087</v>
      </c>
      <c r="F14" s="56">
        <f>'SARPRAS KANTOR DESA'!M3</f>
        <v>147145000</v>
      </c>
      <c r="G14" s="56">
        <f>E14-F14</f>
        <v>-7631913</v>
      </c>
      <c r="H14" s="57" t="s">
        <v>54</v>
      </c>
    </row>
    <row r="15" spans="1:8" s="47" customFormat="1" ht="9" customHeight="1" x14ac:dyDescent="0.25">
      <c r="A15" s="48" t="s">
        <v>158</v>
      </c>
      <c r="B15" s="49"/>
      <c r="C15" s="1352" t="s">
        <v>162</v>
      </c>
      <c r="D15" s="1353"/>
      <c r="E15" s="59">
        <f>SUM(E16:E16)</f>
        <v>5000000</v>
      </c>
      <c r="F15" s="59"/>
      <c r="G15" s="59">
        <f>G16</f>
        <v>5000000</v>
      </c>
      <c r="H15" s="51"/>
    </row>
    <row r="16" spans="1:8" s="43" customFormat="1" ht="9" customHeight="1" x14ac:dyDescent="0.25">
      <c r="A16" s="60"/>
      <c r="B16" s="61"/>
      <c r="C16" s="58" t="s">
        <v>163</v>
      </c>
      <c r="D16" s="55" t="s">
        <v>170</v>
      </c>
      <c r="E16" s="56">
        <v>5000000</v>
      </c>
      <c r="F16" s="56"/>
      <c r="G16" s="56">
        <f>E16-F16</f>
        <v>5000000</v>
      </c>
      <c r="H16" s="57" t="s">
        <v>173</v>
      </c>
    </row>
    <row r="17" spans="1:10" s="43" customFormat="1" ht="9" customHeight="1" x14ac:dyDescent="0.25">
      <c r="A17" s="60"/>
      <c r="B17" s="136"/>
      <c r="C17" s="58" t="s">
        <v>164</v>
      </c>
      <c r="D17" s="55" t="str">
        <f>'PENDAPATAN DESA'!D17</f>
        <v>Bunga Bank</v>
      </c>
      <c r="E17" s="56">
        <f>'PENDAPATAN DESA'!E17</f>
        <v>2214124</v>
      </c>
      <c r="F17" s="56"/>
      <c r="G17" s="56"/>
      <c r="H17" s="57"/>
    </row>
    <row r="18" spans="1:10" s="43" customFormat="1" ht="9" customHeight="1" x14ac:dyDescent="0.25">
      <c r="A18" s="53" t="s">
        <v>531</v>
      </c>
      <c r="B18" s="1402" t="s">
        <v>532</v>
      </c>
      <c r="C18" s="1400"/>
      <c r="D18" s="1401"/>
      <c r="E18" s="56"/>
      <c r="F18" s="56"/>
      <c r="G18" s="56"/>
      <c r="H18" s="57"/>
      <c r="J18" s="1164">
        <f>254500000-213653300</f>
        <v>40846700</v>
      </c>
    </row>
    <row r="19" spans="1:10" s="43" customFormat="1" ht="9" customHeight="1" x14ac:dyDescent="0.25">
      <c r="A19" s="49" t="s">
        <v>533</v>
      </c>
      <c r="B19" s="61"/>
      <c r="C19" s="1400" t="s">
        <v>428</v>
      </c>
      <c r="D19" s="1401"/>
      <c r="E19" s="59">
        <f>SUM(E20:E23)</f>
        <v>197166973</v>
      </c>
      <c r="F19" s="56"/>
      <c r="G19" s="59">
        <f>SUM(G20:G22)</f>
        <v>179406453</v>
      </c>
      <c r="H19" s="57"/>
    </row>
    <row r="20" spans="1:10" s="43" customFormat="1" ht="9" customHeight="1" x14ac:dyDescent="0.25">
      <c r="A20" s="61"/>
      <c r="B20" s="61"/>
      <c r="C20" s="58" t="s">
        <v>163</v>
      </c>
      <c r="D20" s="137" t="s">
        <v>429</v>
      </c>
      <c r="E20" s="118">
        <f>'PENERIMAAN PEMBIAYAAN'!I12</f>
        <v>141150958</v>
      </c>
      <c r="F20" s="56"/>
      <c r="G20" s="56">
        <f>E20-F20</f>
        <v>141150958</v>
      </c>
      <c r="H20" s="57" t="s">
        <v>1045</v>
      </c>
    </row>
    <row r="21" spans="1:10" s="43" customFormat="1" ht="9" customHeight="1" x14ac:dyDescent="0.25">
      <c r="A21" s="61"/>
      <c r="B21" s="61"/>
      <c r="C21" s="58" t="s">
        <v>164</v>
      </c>
      <c r="D21" s="137" t="s">
        <v>430</v>
      </c>
      <c r="E21" s="118">
        <f>'PENERIMAAN PEMBIAYAAN'!I13</f>
        <v>500000</v>
      </c>
      <c r="F21" s="1194"/>
      <c r="G21" s="56">
        <f>E21-F21</f>
        <v>500000</v>
      </c>
      <c r="H21" s="57" t="s">
        <v>1046</v>
      </c>
    </row>
    <row r="22" spans="1:10" s="43" customFormat="1" ht="9" customHeight="1" x14ac:dyDescent="0.25">
      <c r="A22" s="61"/>
      <c r="B22" s="61"/>
      <c r="C22" s="58" t="s">
        <v>165</v>
      </c>
      <c r="D22" s="137" t="s">
        <v>431</v>
      </c>
      <c r="E22" s="118">
        <f>'PENERIMAAN PEMBIAYAAN'!I14</f>
        <v>37755495</v>
      </c>
      <c r="F22" s="56"/>
      <c r="G22" s="56">
        <f>E22-F22</f>
        <v>37755495</v>
      </c>
      <c r="H22" s="57" t="s">
        <v>1047</v>
      </c>
    </row>
    <row r="23" spans="1:10" s="43" customFormat="1" ht="9" customHeight="1" x14ac:dyDescent="0.25">
      <c r="A23" s="63"/>
      <c r="B23" s="63"/>
      <c r="C23" s="64" t="s">
        <v>166</v>
      </c>
      <c r="D23" s="138" t="s">
        <v>432</v>
      </c>
      <c r="E23" s="106">
        <f>'PENERIMAAN PEMBIAYAAN'!I15</f>
        <v>17760520</v>
      </c>
      <c r="F23" s="66"/>
      <c r="G23" s="66">
        <f>E23-F23</f>
        <v>17760520</v>
      </c>
      <c r="H23" s="67" t="s">
        <v>1048</v>
      </c>
    </row>
    <row r="24" spans="1:10" s="47" customFormat="1" ht="17.25" customHeight="1" x14ac:dyDescent="0.25">
      <c r="A24" s="1397" t="s">
        <v>530</v>
      </c>
      <c r="B24" s="1398"/>
      <c r="C24" s="1398"/>
      <c r="D24" s="1399"/>
      <c r="E24" s="68">
        <f>E15+E11+E9+E19</f>
        <v>2309111060</v>
      </c>
      <c r="F24" s="68">
        <f>F15+F11+F9</f>
        <v>0</v>
      </c>
      <c r="G24" s="68">
        <f>G15+G11+G9+G19</f>
        <v>327968624</v>
      </c>
      <c r="H24" s="69"/>
    </row>
    <row r="25" spans="1:10" x14ac:dyDescent="0.25">
      <c r="A25" s="70"/>
      <c r="B25" s="70"/>
      <c r="C25" s="71"/>
    </row>
    <row r="26" spans="1:10" x14ac:dyDescent="0.25">
      <c r="A26" s="70"/>
      <c r="B26" s="70"/>
      <c r="C26" s="71"/>
    </row>
    <row r="27" spans="1:10" x14ac:dyDescent="0.25">
      <c r="A27" s="70"/>
      <c r="B27" s="70"/>
      <c r="C27" s="71"/>
    </row>
    <row r="28" spans="1:10" ht="10.199999999999999" x14ac:dyDescent="0.2">
      <c r="A28" s="70"/>
      <c r="B28" s="70"/>
      <c r="C28" s="71"/>
      <c r="F28" s="139"/>
    </row>
    <row r="29" spans="1:10" ht="10.199999999999999" x14ac:dyDescent="0.2">
      <c r="A29" s="70"/>
      <c r="B29" s="70"/>
      <c r="C29" s="71"/>
      <c r="F29" s="139"/>
    </row>
    <row r="30" spans="1:10" ht="10.199999999999999" x14ac:dyDescent="0.2">
      <c r="A30" s="70"/>
      <c r="B30" s="70"/>
      <c r="C30" s="71"/>
      <c r="F30" s="139"/>
    </row>
    <row r="31" spans="1:10" ht="10.199999999999999" x14ac:dyDescent="0.2">
      <c r="A31" s="70"/>
      <c r="B31" s="70"/>
      <c r="C31" s="71"/>
      <c r="F31" s="139"/>
    </row>
    <row r="32" spans="1:10" ht="10.199999999999999" x14ac:dyDescent="0.2">
      <c r="A32" s="70"/>
      <c r="B32" s="70"/>
      <c r="C32" s="71"/>
      <c r="F32" s="139"/>
    </row>
    <row r="33" spans="1:3" x14ac:dyDescent="0.25">
      <c r="A33" s="70"/>
      <c r="B33" s="70"/>
      <c r="C33" s="71"/>
    </row>
    <row r="34" spans="1:3" x14ac:dyDescent="0.25">
      <c r="A34" s="70"/>
      <c r="B34" s="70"/>
      <c r="C34" s="71"/>
    </row>
    <row r="35" spans="1:3" x14ac:dyDescent="0.25">
      <c r="A35" s="70"/>
      <c r="B35" s="70"/>
      <c r="C35" s="71"/>
    </row>
    <row r="36" spans="1:3" x14ac:dyDescent="0.25">
      <c r="A36" s="70"/>
      <c r="B36" s="70"/>
      <c r="C36" s="71"/>
    </row>
    <row r="37" spans="1:3" x14ac:dyDescent="0.25">
      <c r="A37" s="70"/>
      <c r="B37" s="70"/>
      <c r="C37" s="71"/>
    </row>
    <row r="38" spans="1:3" x14ac:dyDescent="0.25">
      <c r="A38" s="70"/>
      <c r="B38" s="70"/>
      <c r="C38" s="71"/>
    </row>
  </sheetData>
  <mergeCells count="13">
    <mergeCell ref="A24:D24"/>
    <mergeCell ref="C19:D19"/>
    <mergeCell ref="C15:D15"/>
    <mergeCell ref="C11:D11"/>
    <mergeCell ref="B18:D18"/>
    <mergeCell ref="B8:D8"/>
    <mergeCell ref="C9:D9"/>
    <mergeCell ref="A1:H1"/>
    <mergeCell ref="A2:H2"/>
    <mergeCell ref="A3:H3"/>
    <mergeCell ref="A4:H4"/>
    <mergeCell ref="B7:D7"/>
    <mergeCell ref="B6:D6"/>
  </mergeCells>
  <pageMargins left="1.24" right="0.7" top="0.75" bottom="0.75" header="0.3" footer="0.3"/>
  <pageSetup paperSize="14" scale="12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63734"/>
  </sheetPr>
  <dimension ref="A1:F57"/>
  <sheetViews>
    <sheetView topLeftCell="A6" zoomScale="191" workbookViewId="0">
      <selection activeCell="D57" sqref="D57"/>
    </sheetView>
  </sheetViews>
  <sheetFormatPr defaultColWidth="9.33203125" defaultRowHeight="9.6" x14ac:dyDescent="0.25"/>
  <cols>
    <col min="1" max="1" width="6" style="37" customWidth="1"/>
    <col min="2" max="2" width="1.77734375" style="37" customWidth="1"/>
    <col min="3" max="3" width="2.77734375" style="71" customWidth="1"/>
    <col min="4" max="4" width="65.33203125" style="39" customWidth="1"/>
    <col min="5" max="5" width="16.77734375" style="39" customWidth="1"/>
    <col min="6" max="6" width="10.6640625" style="38" hidden="1" customWidth="1"/>
    <col min="7" max="16384" width="9.33203125" style="39"/>
  </cols>
  <sheetData>
    <row r="1" spans="1:6" s="74" customFormat="1" ht="10.199999999999999" x14ac:dyDescent="0.25">
      <c r="A1" s="1405" t="s">
        <v>362</v>
      </c>
      <c r="B1" s="1405"/>
      <c r="C1" s="1405"/>
      <c r="D1" s="1405"/>
      <c r="E1" s="1405"/>
      <c r="F1" s="1405"/>
    </row>
    <row r="2" spans="1:6" s="74" customFormat="1" ht="10.199999999999999" x14ac:dyDescent="0.25">
      <c r="A2" s="1405" t="s">
        <v>153</v>
      </c>
      <c r="B2" s="1405"/>
      <c r="C2" s="1405"/>
      <c r="D2" s="1405"/>
      <c r="E2" s="1405"/>
      <c r="F2" s="1405"/>
    </row>
    <row r="3" spans="1:6" s="74" customFormat="1" ht="10.199999999999999" x14ac:dyDescent="0.25">
      <c r="A3" s="1405" t="s">
        <v>24</v>
      </c>
      <c r="B3" s="1405"/>
      <c r="C3" s="1405"/>
      <c r="D3" s="1405"/>
      <c r="E3" s="1405"/>
      <c r="F3" s="1405"/>
    </row>
    <row r="4" spans="1:6" x14ac:dyDescent="0.25">
      <c r="A4" s="1348"/>
      <c r="B4" s="1348"/>
      <c r="C4" s="1348"/>
      <c r="D4" s="1348"/>
      <c r="E4" s="1348"/>
      <c r="F4" s="1348"/>
    </row>
    <row r="6" spans="1:6" s="40" customFormat="1" ht="21" customHeight="1" x14ac:dyDescent="0.25">
      <c r="A6" s="69" t="s">
        <v>10</v>
      </c>
      <c r="B6" s="1406" t="s">
        <v>150</v>
      </c>
      <c r="C6" s="1406"/>
      <c r="D6" s="1406"/>
      <c r="E6" s="69" t="s">
        <v>151</v>
      </c>
      <c r="F6" s="140" t="s">
        <v>152</v>
      </c>
    </row>
    <row r="7" spans="1:6" s="40" customFormat="1" ht="9" customHeight="1" x14ac:dyDescent="0.25">
      <c r="A7" s="42">
        <v>1</v>
      </c>
      <c r="B7" s="1351">
        <v>2</v>
      </c>
      <c r="C7" s="1351"/>
      <c r="D7" s="1351"/>
      <c r="E7" s="42">
        <v>3</v>
      </c>
      <c r="F7" s="141">
        <v>4</v>
      </c>
    </row>
    <row r="8" spans="1:6" s="133" customFormat="1" ht="12" customHeight="1" x14ac:dyDescent="0.25">
      <c r="A8" s="142" t="s">
        <v>155</v>
      </c>
      <c r="B8" s="1408" t="s">
        <v>159</v>
      </c>
      <c r="C8" s="1408"/>
      <c r="D8" s="1408"/>
      <c r="E8" s="143"/>
      <c r="F8" s="144"/>
    </row>
    <row r="9" spans="1:6" s="145" customFormat="1" ht="9" customHeight="1" x14ac:dyDescent="0.25">
      <c r="A9" s="146" t="s">
        <v>157</v>
      </c>
      <c r="B9" s="147"/>
      <c r="C9" s="1403" t="s">
        <v>160</v>
      </c>
      <c r="D9" s="1404"/>
      <c r="E9" s="148">
        <f>E10</f>
        <v>2000000</v>
      </c>
      <c r="F9" s="149"/>
    </row>
    <row r="10" spans="1:6" s="43" customFormat="1" ht="9" customHeight="1" x14ac:dyDescent="0.25">
      <c r="A10" s="52"/>
      <c r="B10" s="53"/>
      <c r="C10" s="58">
        <v>1</v>
      </c>
      <c r="D10" s="55" t="s">
        <v>171</v>
      </c>
      <c r="E10" s="56">
        <v>2000000</v>
      </c>
      <c r="F10" s="150" t="s">
        <v>58</v>
      </c>
    </row>
    <row r="11" spans="1:6" s="145" customFormat="1" ht="9" customHeight="1" x14ac:dyDescent="0.25">
      <c r="A11" s="146" t="s">
        <v>156</v>
      </c>
      <c r="B11" s="147"/>
      <c r="C11" s="1403" t="s">
        <v>161</v>
      </c>
      <c r="D11" s="1404"/>
      <c r="E11" s="148">
        <f>SUM(E12:E14)</f>
        <v>2104944087</v>
      </c>
      <c r="F11" s="149"/>
    </row>
    <row r="12" spans="1:6" s="43" customFormat="1" ht="9" customHeight="1" x14ac:dyDescent="0.25">
      <c r="A12" s="52"/>
      <c r="B12" s="53"/>
      <c r="C12" s="58" t="s">
        <v>163</v>
      </c>
      <c r="D12" s="55" t="s">
        <v>167</v>
      </c>
      <c r="E12" s="56">
        <f>'PENDAPATAN DESA'!E12</f>
        <v>694432000</v>
      </c>
      <c r="F12" s="150" t="s">
        <v>25</v>
      </c>
    </row>
    <row r="13" spans="1:6" s="43" customFormat="1" ht="9" customHeight="1" x14ac:dyDescent="0.25">
      <c r="A13" s="52"/>
      <c r="B13" s="53"/>
      <c r="C13" s="58" t="s">
        <v>164</v>
      </c>
      <c r="D13" s="55" t="s">
        <v>168</v>
      </c>
      <c r="E13" s="56">
        <f>'PENDAPATAN DESA'!E13</f>
        <v>1270999000</v>
      </c>
      <c r="F13" s="150" t="s">
        <v>50</v>
      </c>
    </row>
    <row r="14" spans="1:6" s="43" customFormat="1" ht="9" customHeight="1" x14ac:dyDescent="0.25">
      <c r="A14" s="52"/>
      <c r="B14" s="53"/>
      <c r="C14" s="58" t="s">
        <v>165</v>
      </c>
      <c r="D14" s="55" t="s">
        <v>169</v>
      </c>
      <c r="E14" s="56">
        <f>'PENDAPATAN DESA'!E14</f>
        <v>139513087</v>
      </c>
      <c r="F14" s="150" t="s">
        <v>54</v>
      </c>
    </row>
    <row r="15" spans="1:6" s="145" customFormat="1" ht="9" customHeight="1" x14ac:dyDescent="0.25">
      <c r="A15" s="146" t="s">
        <v>158</v>
      </c>
      <c r="B15" s="147"/>
      <c r="C15" s="1403" t="s">
        <v>162</v>
      </c>
      <c r="D15" s="1404"/>
      <c r="E15" s="151">
        <f>SUM(E16:E16)</f>
        <v>5000000</v>
      </c>
      <c r="F15" s="149"/>
    </row>
    <row r="16" spans="1:6" s="43" customFormat="1" ht="9" customHeight="1" x14ac:dyDescent="0.25">
      <c r="A16" s="60"/>
      <c r="B16" s="61"/>
      <c r="C16" s="58" t="s">
        <v>163</v>
      </c>
      <c r="D16" s="55" t="s">
        <v>170</v>
      </c>
      <c r="E16" s="56">
        <f>'PENDAPATAN DESA'!E16</f>
        <v>5000000</v>
      </c>
      <c r="F16" s="152" t="s">
        <v>173</v>
      </c>
    </row>
    <row r="17" spans="1:6" s="43" customFormat="1" ht="9" customHeight="1" x14ac:dyDescent="0.25">
      <c r="A17" s="62"/>
      <c r="B17" s="63"/>
      <c r="C17" s="64" t="s">
        <v>164</v>
      </c>
      <c r="D17" s="65" t="str">
        <f>'PENDAPATAN DESA'!D17</f>
        <v>Bunga Bank</v>
      </c>
      <c r="E17" s="66">
        <f>'PENDAPATAN DESA'!E17</f>
        <v>2214124</v>
      </c>
      <c r="F17" s="152"/>
    </row>
    <row r="18" spans="1:6" s="145" customFormat="1" ht="17.25" customHeight="1" x14ac:dyDescent="0.25">
      <c r="A18" s="1407" t="s">
        <v>172</v>
      </c>
      <c r="B18" s="1407"/>
      <c r="C18" s="1407"/>
      <c r="D18" s="1407"/>
      <c r="E18" s="153">
        <f>E15+E11+E9</f>
        <v>2111944087</v>
      </c>
      <c r="F18" s="154"/>
    </row>
    <row r="19" spans="1:6" s="74" customFormat="1" ht="9" customHeight="1" x14ac:dyDescent="0.25">
      <c r="A19" s="142" t="s">
        <v>363</v>
      </c>
      <c r="B19" s="1408" t="s">
        <v>16</v>
      </c>
      <c r="C19" s="1408"/>
      <c r="D19" s="1408"/>
      <c r="E19" s="143"/>
      <c r="F19" s="144"/>
    </row>
    <row r="20" spans="1:6" s="74" customFormat="1" ht="9" customHeight="1" x14ac:dyDescent="0.25">
      <c r="A20" s="146" t="s">
        <v>437</v>
      </c>
      <c r="B20" s="147"/>
      <c r="C20" s="1403" t="s">
        <v>364</v>
      </c>
      <c r="D20" s="1404"/>
      <c r="E20" s="148">
        <f>'APBDES 2025'!E20</f>
        <v>1018084216</v>
      </c>
      <c r="F20" s="149"/>
    </row>
    <row r="21" spans="1:6" s="155" customFormat="1" ht="9" hidden="1" customHeight="1" x14ac:dyDescent="0.25">
      <c r="A21" s="156"/>
      <c r="B21" s="157"/>
      <c r="C21" s="58" t="s">
        <v>163</v>
      </c>
      <c r="D21" s="55" t="str">
        <f>KADES!B6</f>
        <v>: Penyediaan Penghasilan Tetap dan Tunjangan Kepala Desa</v>
      </c>
      <c r="E21" s="158">
        <f>KADES!H19</f>
        <v>59520000</v>
      </c>
      <c r="F21" s="150" t="s">
        <v>25</v>
      </c>
    </row>
    <row r="22" spans="1:6" s="155" customFormat="1" ht="9" hidden="1" customHeight="1" x14ac:dyDescent="0.25">
      <c r="A22" s="156"/>
      <c r="B22" s="157"/>
      <c r="C22" s="58" t="s">
        <v>164</v>
      </c>
      <c r="D22" s="55" t="str">
        <f>PERANGKAT!D6</f>
        <v>Penyediaan Penghasilan Tetap dan Tunjangan Perangkat Desa</v>
      </c>
      <c r="E22" s="158">
        <f>PERANGKAT!J26</f>
        <v>339168000</v>
      </c>
      <c r="F22" s="150" t="s">
        <v>25</v>
      </c>
    </row>
    <row r="23" spans="1:6" s="155" customFormat="1" ht="9" hidden="1" customHeight="1" x14ac:dyDescent="0.25">
      <c r="A23" s="156"/>
      <c r="B23" s="157"/>
      <c r="C23" s="58" t="s">
        <v>165</v>
      </c>
      <c r="D23" s="55" t="s">
        <v>367</v>
      </c>
      <c r="E23" s="158">
        <f>'OPS PEMDES'!J82</f>
        <v>164090000</v>
      </c>
      <c r="F23" s="150" t="s">
        <v>53</v>
      </c>
    </row>
    <row r="24" spans="1:6" s="155" customFormat="1" ht="9" hidden="1" customHeight="1" x14ac:dyDescent="0.25">
      <c r="A24" s="156"/>
      <c r="B24" s="157"/>
      <c r="C24" s="58" t="s">
        <v>166</v>
      </c>
      <c r="D24" s="55" t="str">
        <f>BPD!D6</f>
        <v>Penyediaan Tunjangan BPD</v>
      </c>
      <c r="E24" s="158">
        <f>BPD!J20</f>
        <v>58800000</v>
      </c>
      <c r="F24" s="150" t="s">
        <v>25</v>
      </c>
    </row>
    <row r="25" spans="1:6" s="155" customFormat="1" ht="9" hidden="1" customHeight="1" x14ac:dyDescent="0.25">
      <c r="A25" s="156"/>
      <c r="B25" s="157"/>
      <c r="C25" s="58" t="s">
        <v>369</v>
      </c>
      <c r="D25" s="55" t="s">
        <v>186</v>
      </c>
      <c r="E25" s="158">
        <f>'OPS BPD'!J17</f>
        <v>4000000</v>
      </c>
      <c r="F25" s="150" t="s">
        <v>25</v>
      </c>
    </row>
    <row r="26" spans="1:6" s="155" customFormat="1" ht="9" hidden="1" customHeight="1" x14ac:dyDescent="0.25">
      <c r="A26" s="156"/>
      <c r="B26" s="157"/>
      <c r="C26" s="58" t="s">
        <v>370</v>
      </c>
      <c r="D26" s="55" t="s">
        <v>193</v>
      </c>
      <c r="E26" s="158">
        <f>'RT RW'!J18</f>
        <v>143940000</v>
      </c>
      <c r="F26" s="150" t="s">
        <v>25</v>
      </c>
    </row>
    <row r="27" spans="1:6" s="155" customFormat="1" ht="9" hidden="1" customHeight="1" x14ac:dyDescent="0.25">
      <c r="A27" s="156"/>
      <c r="B27" s="157"/>
      <c r="C27" s="58" t="s">
        <v>371</v>
      </c>
      <c r="D27" s="55" t="s">
        <v>200</v>
      </c>
      <c r="E27" s="158">
        <f>'OPS PEMDES 3%'!J28</f>
        <v>38129000</v>
      </c>
      <c r="F27" s="150" t="s">
        <v>50</v>
      </c>
    </row>
    <row r="28" spans="1:6" s="155" customFormat="1" ht="9" hidden="1" customHeight="1" x14ac:dyDescent="0.25">
      <c r="A28" s="156"/>
      <c r="B28" s="157"/>
      <c r="C28" s="58" t="s">
        <v>372</v>
      </c>
      <c r="D28" s="55" t="s">
        <v>227</v>
      </c>
      <c r="E28" s="158">
        <f>'SARPRAS KANTOR DESA'!J43</f>
        <v>175195000</v>
      </c>
      <c r="F28" s="150" t="s">
        <v>54</v>
      </c>
    </row>
    <row r="29" spans="1:6" s="155" customFormat="1" ht="9" hidden="1" customHeight="1" x14ac:dyDescent="0.25">
      <c r="A29" s="156"/>
      <c r="B29" s="157"/>
      <c r="C29" s="58" t="s">
        <v>373</v>
      </c>
      <c r="D29" s="55" t="s">
        <v>374</v>
      </c>
      <c r="E29" s="158" t="e">
        <f>#REF!</f>
        <v>#REF!</v>
      </c>
      <c r="F29" s="150" t="s">
        <v>50</v>
      </c>
    </row>
    <row r="30" spans="1:6" s="155" customFormat="1" ht="9" hidden="1" customHeight="1" x14ac:dyDescent="0.25">
      <c r="A30" s="156"/>
      <c r="B30" s="157"/>
      <c r="C30" s="58" t="s">
        <v>285</v>
      </c>
      <c r="D30" s="55" t="s">
        <v>241</v>
      </c>
      <c r="E30" s="158">
        <f>'SUN RKP'!J33</f>
        <v>2705000</v>
      </c>
      <c r="F30" s="150" t="s">
        <v>50</v>
      </c>
    </row>
    <row r="31" spans="1:6" s="155" customFormat="1" ht="9" hidden="1" customHeight="1" x14ac:dyDescent="0.25">
      <c r="A31" s="156"/>
      <c r="B31" s="157"/>
      <c r="C31" s="58" t="s">
        <v>286</v>
      </c>
      <c r="D31" s="55" t="s">
        <v>243</v>
      </c>
      <c r="E31" s="158">
        <f>NONREGULER!J24</f>
        <v>2000000</v>
      </c>
      <c r="F31" s="150" t="s">
        <v>58</v>
      </c>
    </row>
    <row r="32" spans="1:6" s="155" customFormat="1" ht="9" hidden="1" customHeight="1" x14ac:dyDescent="0.25">
      <c r="A32" s="156"/>
      <c r="B32" s="157"/>
      <c r="C32" s="58" t="s">
        <v>287</v>
      </c>
      <c r="D32" s="55" t="s">
        <v>247</v>
      </c>
      <c r="E32" s="158">
        <f>'SUN KEBIJAKAN DESA'!J21</f>
        <v>500000</v>
      </c>
      <c r="F32" s="150" t="s">
        <v>54</v>
      </c>
    </row>
    <row r="33" spans="1:6" s="155" customFormat="1" ht="9" hidden="1" customHeight="1" x14ac:dyDescent="0.25">
      <c r="A33" s="156"/>
      <c r="B33" s="157"/>
      <c r="C33" s="58" t="s">
        <v>288</v>
      </c>
      <c r="D33" s="55" t="s">
        <v>252</v>
      </c>
      <c r="E33" s="159">
        <f>'SPPT PBB'!J18</f>
        <v>20330000</v>
      </c>
      <c r="F33" s="150" t="s">
        <v>54</v>
      </c>
    </row>
    <row r="34" spans="1:6" s="74" customFormat="1" ht="9" customHeight="1" x14ac:dyDescent="0.25">
      <c r="A34" s="146" t="s">
        <v>438</v>
      </c>
      <c r="B34" s="147"/>
      <c r="C34" s="1403" t="s">
        <v>74</v>
      </c>
      <c r="D34" s="1404"/>
      <c r="E34" s="148">
        <f>'APBDES 2025'!E37</f>
        <v>423691500</v>
      </c>
      <c r="F34" s="149"/>
    </row>
    <row r="35" spans="1:6" ht="9" hidden="1" customHeight="1" x14ac:dyDescent="0.25">
      <c r="A35" s="48"/>
      <c r="B35" s="49"/>
      <c r="C35" s="58" t="s">
        <v>163</v>
      </c>
      <c r="D35" s="55" t="str">
        <f>'PAUD TPQ'!D6</f>
        <v>Penyelanggaraan PAUD.TPA/TKA/TPQ/Madrasah Non Formal Milik Desa (Honor, Pakaian, dll)</v>
      </c>
      <c r="E35" s="158">
        <f>'PAUD TPQ'!J18</f>
        <v>24000000</v>
      </c>
      <c r="F35" s="150" t="s">
        <v>50</v>
      </c>
    </row>
    <row r="36" spans="1:6" ht="9" hidden="1" customHeight="1" x14ac:dyDescent="0.25">
      <c r="A36" s="48"/>
      <c r="B36" s="49"/>
      <c r="C36" s="58" t="s">
        <v>164</v>
      </c>
      <c r="D36" s="55" t="str">
        <f>POSYANDU!D6</f>
        <v>Penyelenggaraan Posyandu (PMT, Kelas Ibu Hamil, Lansia, Insentif)</v>
      </c>
      <c r="E36" s="158">
        <f>POSYANDU!J51</f>
        <v>67284000</v>
      </c>
      <c r="F36" s="150" t="s">
        <v>50</v>
      </c>
    </row>
    <row r="37" spans="1:6" ht="9" hidden="1" customHeight="1" x14ac:dyDescent="0.25">
      <c r="A37" s="48"/>
      <c r="B37" s="49"/>
      <c r="C37" s="58" t="s">
        <v>165</v>
      </c>
      <c r="D37" s="55" t="e">
        <f>#REF!</f>
        <v>#REF!</v>
      </c>
      <c r="E37" s="158" t="e">
        <f>#REF!</f>
        <v>#REF!</v>
      </c>
      <c r="F37" s="150" t="s">
        <v>50</v>
      </c>
    </row>
    <row r="38" spans="1:6" ht="9" hidden="1" customHeight="1" x14ac:dyDescent="0.25">
      <c r="A38" s="48"/>
      <c r="B38" s="49"/>
      <c r="C38" s="58" t="s">
        <v>166</v>
      </c>
      <c r="D38" s="55" t="e">
        <f>#REF!</f>
        <v>#REF!</v>
      </c>
      <c r="E38" s="158" t="e">
        <f>#REF!</f>
        <v>#REF!</v>
      </c>
      <c r="F38" s="150" t="s">
        <v>50</v>
      </c>
    </row>
    <row r="39" spans="1:6" ht="9" hidden="1" customHeight="1" x14ac:dyDescent="0.25">
      <c r="A39" s="48"/>
      <c r="B39" s="49"/>
      <c r="C39" s="58" t="s">
        <v>369</v>
      </c>
      <c r="D39" s="55" t="e">
        <f>#REF!</f>
        <v>#REF!</v>
      </c>
      <c r="E39" s="158" t="e">
        <f>#REF!</f>
        <v>#REF!</v>
      </c>
      <c r="F39" s="150" t="s">
        <v>50</v>
      </c>
    </row>
    <row r="40" spans="1:6" s="74" customFormat="1" ht="9" customHeight="1" x14ac:dyDescent="0.25">
      <c r="A40" s="146" t="s">
        <v>439</v>
      </c>
      <c r="B40" s="147"/>
      <c r="C40" s="1403" t="s">
        <v>85</v>
      </c>
      <c r="D40" s="1404"/>
      <c r="E40" s="151">
        <f>'APBDES 2025'!E49</f>
        <v>43040000</v>
      </c>
      <c r="F40" s="149"/>
    </row>
    <row r="41" spans="1:6" ht="9" hidden="1" customHeight="1" x14ac:dyDescent="0.25">
      <c r="A41" s="48"/>
      <c r="B41" s="49"/>
      <c r="C41" s="58" t="s">
        <v>163</v>
      </c>
      <c r="D41" s="55" t="str">
        <f>'OPS LPMD'!D6</f>
        <v>Pembinaan Kelembagaan LPMD</v>
      </c>
      <c r="E41" s="159">
        <f>'OPS LPMD'!J19</f>
        <v>3000000</v>
      </c>
      <c r="F41" s="150" t="s">
        <v>25</v>
      </c>
    </row>
    <row r="42" spans="1:6" ht="9" hidden="1" customHeight="1" x14ac:dyDescent="0.25">
      <c r="A42" s="48"/>
      <c r="B42" s="49"/>
      <c r="C42" s="58" t="s">
        <v>164</v>
      </c>
      <c r="D42" s="55" t="str">
        <f>'OPS KIM'!D6</f>
        <v>Pembinaan Kelembagaan Kelompok Informasi Masyarakat (KIM)</v>
      </c>
      <c r="E42" s="159">
        <f>'OPS KIM'!J18</f>
        <v>5000000</v>
      </c>
      <c r="F42" s="150" t="s">
        <v>50</v>
      </c>
    </row>
    <row r="43" spans="1:6" ht="9" hidden="1" customHeight="1" x14ac:dyDescent="0.25">
      <c r="A43" s="48"/>
      <c r="B43" s="49"/>
      <c r="C43" s="58" t="s">
        <v>165</v>
      </c>
      <c r="D43" s="55" t="str">
        <f>'OPS PB. PANDANLANDUNG'!D6</f>
        <v>Pembinaan Kelembagaan PB. PANDANLANDUNG</v>
      </c>
      <c r="E43" s="159">
        <f>'OPS PB. PANDANLANDUNG'!J19</f>
        <v>5000000</v>
      </c>
      <c r="F43" s="150" t="s">
        <v>50</v>
      </c>
    </row>
    <row r="44" spans="1:6" ht="9" hidden="1" customHeight="1" x14ac:dyDescent="0.25">
      <c r="A44" s="48"/>
      <c r="B44" s="49"/>
      <c r="C44" s="58" t="s">
        <v>166</v>
      </c>
      <c r="D44" s="55" t="str">
        <f>'OPS PSB PANDAWA'!D6</f>
        <v xml:space="preserve">Pembinaan Kelembagaan Paguyuban Sepak Bola </v>
      </c>
      <c r="E44" s="159">
        <f>'OPS PSB PANDAWA'!J19</f>
        <v>5000000</v>
      </c>
      <c r="F44" s="150" t="s">
        <v>50</v>
      </c>
    </row>
    <row r="45" spans="1:6" ht="9" hidden="1" customHeight="1" x14ac:dyDescent="0.25">
      <c r="A45" s="48"/>
      <c r="B45" s="49"/>
      <c r="C45" s="58" t="s">
        <v>369</v>
      </c>
      <c r="D45" s="55" t="str">
        <f>'OPS KESENIAN'!D6</f>
        <v>Pembinaan Kelembagaan Kesenian Desa</v>
      </c>
      <c r="E45" s="159">
        <f>'OPS PB. PANDANLANDUNG'!J19</f>
        <v>5000000</v>
      </c>
      <c r="F45" s="150" t="s">
        <v>50</v>
      </c>
    </row>
    <row r="46" spans="1:6" ht="9" hidden="1" customHeight="1" x14ac:dyDescent="0.25">
      <c r="A46" s="48"/>
      <c r="B46" s="49"/>
      <c r="C46" s="58" t="s">
        <v>370</v>
      </c>
      <c r="D46" s="55" t="str">
        <f>'OPS LINMAS'!D6</f>
        <v>Pelatihan Tanggap Bencana</v>
      </c>
      <c r="E46" s="159">
        <f>'OPS LINMAS'!J25</f>
        <v>4750000</v>
      </c>
      <c r="F46" s="150" t="s">
        <v>54</v>
      </c>
    </row>
    <row r="47" spans="1:6" ht="9" hidden="1" customHeight="1" x14ac:dyDescent="0.25">
      <c r="A47" s="48"/>
      <c r="B47" s="49"/>
      <c r="C47" s="58" t="s">
        <v>371</v>
      </c>
      <c r="D47" s="55" t="str">
        <f>'OPS FORUM ANAK'!D6</f>
        <v>Pembinaan Kelembagaan Forum Anak Desa</v>
      </c>
      <c r="E47" s="159">
        <f>'OPS FORUM ANAK'!J27</f>
        <v>5290000</v>
      </c>
      <c r="F47" s="150" t="s">
        <v>50</v>
      </c>
    </row>
    <row r="48" spans="1:6" ht="9" hidden="1" customHeight="1" x14ac:dyDescent="0.25">
      <c r="A48" s="48"/>
      <c r="B48" s="49"/>
      <c r="C48" s="58" t="s">
        <v>372</v>
      </c>
      <c r="D48" s="55" t="str">
        <f>'OPS PKK'!D6</f>
        <v>Pembinaan Kelembagaan PKK Desa</v>
      </c>
      <c r="E48" s="159">
        <f>'OPS PKK'!J27</f>
        <v>10000000</v>
      </c>
      <c r="F48" s="150" t="s">
        <v>25</v>
      </c>
    </row>
    <row r="49" spans="1:6" s="74" customFormat="1" ht="9" customHeight="1" x14ac:dyDescent="0.25">
      <c r="A49" s="146" t="s">
        <v>440</v>
      </c>
      <c r="B49" s="147"/>
      <c r="C49" s="1403" t="s">
        <v>365</v>
      </c>
      <c r="D49" s="1404"/>
      <c r="E49" s="151" t="e">
        <f>SUM(E50)</f>
        <v>#REF!</v>
      </c>
      <c r="F49" s="149"/>
    </row>
    <row r="50" spans="1:6" ht="9" hidden="1" customHeight="1" x14ac:dyDescent="0.25">
      <c r="A50" s="48"/>
      <c r="B50" s="49"/>
      <c r="C50" s="58" t="s">
        <v>163</v>
      </c>
      <c r="D50" s="55" t="e">
        <f>#REF!</f>
        <v>#REF!</v>
      </c>
      <c r="E50" s="159" t="e">
        <f>#REF!</f>
        <v>#REF!</v>
      </c>
      <c r="F50" s="150" t="s">
        <v>50</v>
      </c>
    </row>
    <row r="51" spans="1:6" s="74" customFormat="1" ht="9" customHeight="1" x14ac:dyDescent="0.25">
      <c r="A51" s="146" t="s">
        <v>441</v>
      </c>
      <c r="B51" s="147"/>
      <c r="C51" s="1403" t="s">
        <v>366</v>
      </c>
      <c r="D51" s="1404"/>
      <c r="E51" s="151">
        <f>E52</f>
        <v>144000000</v>
      </c>
      <c r="F51" s="149"/>
    </row>
    <row r="52" spans="1:6" ht="9" hidden="1" customHeight="1" x14ac:dyDescent="0.25">
      <c r="A52" s="62"/>
      <c r="B52" s="63"/>
      <c r="C52" s="64" t="s">
        <v>163</v>
      </c>
      <c r="D52" s="65" t="s">
        <v>350</v>
      </c>
      <c r="E52" s="66">
        <f>'BLT DD'!J18</f>
        <v>144000000</v>
      </c>
      <c r="F52" s="152" t="s">
        <v>50</v>
      </c>
    </row>
    <row r="53" spans="1:6" ht="15" customHeight="1" x14ac:dyDescent="0.25">
      <c r="A53" s="1350" t="s">
        <v>377</v>
      </c>
      <c r="B53" s="1350"/>
      <c r="C53" s="1350"/>
      <c r="D53" s="1350"/>
      <c r="E53" s="153" t="e">
        <f>E51+E49+E40+E34+E20</f>
        <v>#REF!</v>
      </c>
      <c r="F53" s="160"/>
    </row>
    <row r="54" spans="1:6" s="47" customFormat="1" ht="15" customHeight="1" x14ac:dyDescent="0.25">
      <c r="A54" s="1350" t="s">
        <v>378</v>
      </c>
      <c r="B54" s="1350"/>
      <c r="C54" s="1350"/>
      <c r="D54" s="1350"/>
      <c r="E54" s="68" t="e">
        <f>E18-E53</f>
        <v>#REF!</v>
      </c>
      <c r="F54" s="161"/>
    </row>
    <row r="55" spans="1:6" x14ac:dyDescent="0.25">
      <c r="A55" s="70"/>
      <c r="B55" s="70"/>
    </row>
    <row r="56" spans="1:6" x14ac:dyDescent="0.25">
      <c r="A56" s="70"/>
      <c r="B56" s="70"/>
    </row>
    <row r="57" spans="1:6" x14ac:dyDescent="0.25">
      <c r="A57" s="70"/>
      <c r="B57" s="70"/>
    </row>
  </sheetData>
  <mergeCells count="19">
    <mergeCell ref="A1:F1"/>
    <mergeCell ref="B19:D19"/>
    <mergeCell ref="A4:F4"/>
    <mergeCell ref="B8:D8"/>
    <mergeCell ref="C15:D15"/>
    <mergeCell ref="C20:D20"/>
    <mergeCell ref="A2:F2"/>
    <mergeCell ref="B7:D7"/>
    <mergeCell ref="B6:D6"/>
    <mergeCell ref="C9:D9"/>
    <mergeCell ref="C11:D11"/>
    <mergeCell ref="A18:D18"/>
    <mergeCell ref="A3:F3"/>
    <mergeCell ref="C49:D49"/>
    <mergeCell ref="A54:D54"/>
    <mergeCell ref="C51:D51"/>
    <mergeCell ref="C34:D34"/>
    <mergeCell ref="A53:D53"/>
    <mergeCell ref="C40:D40"/>
  </mergeCells>
  <pageMargins left="0.7" right="0.55000000000000004" top="0.75" bottom="0.75" header="0.3" footer="0.3"/>
  <pageSetup paperSize="14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63734"/>
  </sheetPr>
  <dimension ref="A1:J73"/>
  <sheetViews>
    <sheetView zoomScale="170" zoomScaleNormal="170" workbookViewId="0">
      <selection activeCell="F59" sqref="F59"/>
    </sheetView>
  </sheetViews>
  <sheetFormatPr defaultColWidth="9.33203125" defaultRowHeight="9.6" x14ac:dyDescent="0.25"/>
  <cols>
    <col min="1" max="1" width="6" style="37" customWidth="1"/>
    <col min="2" max="2" width="1.77734375" style="37" customWidth="1"/>
    <col min="3" max="3" width="2.77734375" style="71" customWidth="1"/>
    <col min="4" max="4" width="65.33203125" style="39" customWidth="1"/>
    <col min="5" max="5" width="16.77734375" style="39" customWidth="1"/>
    <col min="6" max="6" width="10.6640625" style="38" customWidth="1"/>
    <col min="7" max="16384" width="9.33203125" style="39"/>
  </cols>
  <sheetData>
    <row r="1" spans="1:6" s="74" customFormat="1" ht="10.199999999999999" x14ac:dyDescent="0.25">
      <c r="A1" s="1405" t="s">
        <v>362</v>
      </c>
      <c r="B1" s="1405"/>
      <c r="C1" s="1405"/>
      <c r="D1" s="1405"/>
      <c r="E1" s="1405"/>
      <c r="F1" s="1405"/>
    </row>
    <row r="2" spans="1:6" s="74" customFormat="1" ht="10.199999999999999" x14ac:dyDescent="0.25">
      <c r="A2" s="1405" t="s">
        <v>153</v>
      </c>
      <c r="B2" s="1405"/>
      <c r="C2" s="1405"/>
      <c r="D2" s="1405"/>
      <c r="E2" s="1405"/>
      <c r="F2" s="1405"/>
    </row>
    <row r="3" spans="1:6" s="74" customFormat="1" ht="10.199999999999999" x14ac:dyDescent="0.25">
      <c r="A3" s="1405" t="s">
        <v>872</v>
      </c>
      <c r="B3" s="1405"/>
      <c r="C3" s="1405"/>
      <c r="D3" s="1405"/>
      <c r="E3" s="1405"/>
      <c r="F3" s="1405"/>
    </row>
    <row r="4" spans="1:6" x14ac:dyDescent="0.25">
      <c r="A4" s="1348"/>
      <c r="B4" s="1348"/>
      <c r="C4" s="1348"/>
      <c r="D4" s="1348"/>
      <c r="E4" s="1348"/>
      <c r="F4" s="1348"/>
    </row>
    <row r="6" spans="1:6" s="40" customFormat="1" ht="21" customHeight="1" x14ac:dyDescent="0.25">
      <c r="A6" s="69" t="s">
        <v>10</v>
      </c>
      <c r="B6" s="1406" t="s">
        <v>150</v>
      </c>
      <c r="C6" s="1406"/>
      <c r="D6" s="1406"/>
      <c r="E6" s="69" t="s">
        <v>151</v>
      </c>
      <c r="F6" s="140" t="s">
        <v>152</v>
      </c>
    </row>
    <row r="7" spans="1:6" s="40" customFormat="1" ht="9" customHeight="1" x14ac:dyDescent="0.25">
      <c r="A7" s="42">
        <v>1</v>
      </c>
      <c r="B7" s="1351">
        <v>2</v>
      </c>
      <c r="C7" s="1351"/>
      <c r="D7" s="1351"/>
      <c r="E7" s="42">
        <v>3</v>
      </c>
      <c r="F7" s="141">
        <v>4</v>
      </c>
    </row>
    <row r="8" spans="1:6" s="133" customFormat="1" ht="12" customHeight="1" x14ac:dyDescent="0.25">
      <c r="A8" s="142" t="s">
        <v>155</v>
      </c>
      <c r="B8" s="1408" t="s">
        <v>159</v>
      </c>
      <c r="C8" s="1408"/>
      <c r="D8" s="1408"/>
      <c r="E8" s="143"/>
      <c r="F8" s="144"/>
    </row>
    <row r="9" spans="1:6" s="47" customFormat="1" ht="9" customHeight="1" x14ac:dyDescent="0.25">
      <c r="A9" s="48" t="s">
        <v>157</v>
      </c>
      <c r="B9" s="49"/>
      <c r="C9" s="1352" t="s">
        <v>160</v>
      </c>
      <c r="D9" s="1353"/>
      <c r="E9" s="50">
        <f>E10</f>
        <v>0</v>
      </c>
      <c r="F9" s="150"/>
    </row>
    <row r="10" spans="1:6" s="43" customFormat="1" ht="9" customHeight="1" x14ac:dyDescent="0.25">
      <c r="A10" s="52"/>
      <c r="B10" s="53"/>
      <c r="C10" s="58">
        <v>1</v>
      </c>
      <c r="D10" s="55" t="s">
        <v>171</v>
      </c>
      <c r="E10" s="56">
        <f>'PENDAPATAN DESA'!E10</f>
        <v>0</v>
      </c>
      <c r="F10" s="150" t="s">
        <v>58</v>
      </c>
    </row>
    <row r="11" spans="1:6" s="47" customFormat="1" ht="9" customHeight="1" x14ac:dyDescent="0.25">
      <c r="A11" s="48" t="s">
        <v>156</v>
      </c>
      <c r="B11" s="49"/>
      <c r="C11" s="1352" t="s">
        <v>161</v>
      </c>
      <c r="D11" s="1353"/>
      <c r="E11" s="50">
        <f>SUM(E12:E14)</f>
        <v>2104944087</v>
      </c>
      <c r="F11" s="150"/>
    </row>
    <row r="12" spans="1:6" s="43" customFormat="1" ht="9" customHeight="1" x14ac:dyDescent="0.25">
      <c r="A12" s="52"/>
      <c r="B12" s="53"/>
      <c r="C12" s="58" t="s">
        <v>163</v>
      </c>
      <c r="D12" s="55" t="s">
        <v>167</v>
      </c>
      <c r="E12" s="56">
        <f>'PENDAPATAN DESA'!E12</f>
        <v>694432000</v>
      </c>
      <c r="F12" s="150" t="s">
        <v>25</v>
      </c>
    </row>
    <row r="13" spans="1:6" s="43" customFormat="1" ht="9" customHeight="1" x14ac:dyDescent="0.25">
      <c r="A13" s="52"/>
      <c r="B13" s="53"/>
      <c r="C13" s="58" t="s">
        <v>164</v>
      </c>
      <c r="D13" s="55" t="s">
        <v>168</v>
      </c>
      <c r="E13" s="56">
        <f>'PENDAPATAN DESA'!E13</f>
        <v>1270999000</v>
      </c>
      <c r="F13" s="150" t="s">
        <v>50</v>
      </c>
    </row>
    <row r="14" spans="1:6" s="43" customFormat="1" ht="9" customHeight="1" x14ac:dyDescent="0.25">
      <c r="A14" s="52"/>
      <c r="B14" s="53"/>
      <c r="C14" s="58" t="s">
        <v>165</v>
      </c>
      <c r="D14" s="55" t="s">
        <v>169</v>
      </c>
      <c r="E14" s="56">
        <f>'PENDAPATAN DESA'!E14</f>
        <v>139513087</v>
      </c>
      <c r="F14" s="150" t="s">
        <v>54</v>
      </c>
    </row>
    <row r="15" spans="1:6" s="47" customFormat="1" ht="9" customHeight="1" x14ac:dyDescent="0.25">
      <c r="A15" s="48" t="s">
        <v>158</v>
      </c>
      <c r="B15" s="49"/>
      <c r="C15" s="1352" t="s">
        <v>162</v>
      </c>
      <c r="D15" s="1353"/>
      <c r="E15" s="59">
        <f>SUM(E16:E16)</f>
        <v>5000000</v>
      </c>
      <c r="F15" s="150"/>
    </row>
    <row r="16" spans="1:6" s="43" customFormat="1" ht="9" customHeight="1" x14ac:dyDescent="0.25">
      <c r="A16" s="60"/>
      <c r="B16" s="61"/>
      <c r="C16" s="58" t="s">
        <v>163</v>
      </c>
      <c r="D16" s="55" t="s">
        <v>170</v>
      </c>
      <c r="E16" s="56">
        <f>'PENDAPATAN DESA'!E16</f>
        <v>5000000</v>
      </c>
      <c r="F16" s="150" t="s">
        <v>173</v>
      </c>
    </row>
    <row r="17" spans="1:10" s="43" customFormat="1" ht="9" customHeight="1" x14ac:dyDescent="0.25">
      <c r="A17" s="62"/>
      <c r="B17" s="63"/>
      <c r="C17" s="64" t="s">
        <v>164</v>
      </c>
      <c r="D17" s="65" t="str">
        <f>'BELANJA PER BIDANG'!D17</f>
        <v>Bunga Bank</v>
      </c>
      <c r="E17" s="66">
        <f>'BELANJA PER BIDANG'!E17</f>
        <v>2214124</v>
      </c>
      <c r="F17" s="152" t="s">
        <v>173</v>
      </c>
    </row>
    <row r="18" spans="1:10" s="145" customFormat="1" ht="17.25" customHeight="1" x14ac:dyDescent="0.25">
      <c r="A18" s="1407" t="s">
        <v>172</v>
      </c>
      <c r="B18" s="1407"/>
      <c r="C18" s="1407"/>
      <c r="D18" s="1407"/>
      <c r="E18" s="153">
        <f>E15+E11+E9</f>
        <v>2109944087</v>
      </c>
      <c r="F18" s="154"/>
    </row>
    <row r="19" spans="1:10" s="74" customFormat="1" ht="9" customHeight="1" x14ac:dyDescent="0.25">
      <c r="A19" s="142" t="s">
        <v>363</v>
      </c>
      <c r="B19" s="1408" t="s">
        <v>16</v>
      </c>
      <c r="C19" s="1408"/>
      <c r="D19" s="1408"/>
      <c r="E19" s="143"/>
      <c r="F19" s="144"/>
    </row>
    <row r="20" spans="1:10" s="74" customFormat="1" ht="9" customHeight="1" x14ac:dyDescent="0.25">
      <c r="A20" s="146" t="s">
        <v>437</v>
      </c>
      <c r="B20" s="147"/>
      <c r="C20" s="1403" t="s">
        <v>364</v>
      </c>
      <c r="D20" s="1404"/>
      <c r="E20" s="162">
        <f>SUM(E21:E36)</f>
        <v>1018084216</v>
      </c>
      <c r="F20" s="149"/>
    </row>
    <row r="21" spans="1:10" s="155" customFormat="1" ht="9" customHeight="1" x14ac:dyDescent="0.25">
      <c r="A21" s="156"/>
      <c r="B21" s="157"/>
      <c r="C21" s="58" t="s">
        <v>163</v>
      </c>
      <c r="D21" s="55" t="str">
        <f>KADES!B6</f>
        <v>: Penyediaan Penghasilan Tetap dan Tunjangan Kepala Desa</v>
      </c>
      <c r="E21" s="158">
        <f>KADES!H19</f>
        <v>59520000</v>
      </c>
      <c r="F21" s="150" t="s">
        <v>25</v>
      </c>
    </row>
    <row r="22" spans="1:10" s="155" customFormat="1" ht="9" customHeight="1" x14ac:dyDescent="0.25">
      <c r="A22" s="156"/>
      <c r="B22" s="157"/>
      <c r="C22" s="58" t="s">
        <v>164</v>
      </c>
      <c r="D22" s="55" t="str">
        <f>PERANGKAT!D6</f>
        <v>Penyediaan Penghasilan Tetap dan Tunjangan Perangkat Desa</v>
      </c>
      <c r="E22" s="158">
        <f>PERANGKAT!J26</f>
        <v>339168000</v>
      </c>
      <c r="F22" s="150" t="s">
        <v>25</v>
      </c>
    </row>
    <row r="23" spans="1:10" s="155" customFormat="1" x14ac:dyDescent="0.25">
      <c r="A23" s="156"/>
      <c r="B23" s="157"/>
      <c r="C23" s="58" t="s">
        <v>165</v>
      </c>
      <c r="D23" s="55" t="s">
        <v>673</v>
      </c>
      <c r="E23" s="158">
        <f>BPJS!M3</f>
        <v>2763216</v>
      </c>
      <c r="F23" s="150" t="s">
        <v>25</v>
      </c>
    </row>
    <row r="24" spans="1:10" s="155" customFormat="1" ht="12.45" customHeight="1" x14ac:dyDescent="0.25">
      <c r="A24" s="156"/>
      <c r="B24" s="157"/>
      <c r="C24" s="58" t="s">
        <v>166</v>
      </c>
      <c r="D24" s="55" t="s">
        <v>367</v>
      </c>
      <c r="E24" s="158">
        <f>'OPS PEMDES'!J82</f>
        <v>164090000</v>
      </c>
      <c r="F24" s="150" t="s">
        <v>53</v>
      </c>
    </row>
    <row r="25" spans="1:10" s="155" customFormat="1" ht="9" customHeight="1" x14ac:dyDescent="0.25">
      <c r="A25" s="156"/>
      <c r="B25" s="157"/>
      <c r="C25" s="58" t="s">
        <v>369</v>
      </c>
      <c r="D25" s="55" t="str">
        <f>BPD!D6</f>
        <v>Penyediaan Tunjangan BPD</v>
      </c>
      <c r="E25" s="158">
        <f>BPD!J20</f>
        <v>58800000</v>
      </c>
      <c r="F25" s="150" t="s">
        <v>25</v>
      </c>
    </row>
    <row r="26" spans="1:10" s="155" customFormat="1" ht="9" customHeight="1" x14ac:dyDescent="0.25">
      <c r="A26" s="156"/>
      <c r="B26" s="157"/>
      <c r="C26" s="58" t="s">
        <v>370</v>
      </c>
      <c r="D26" s="55" t="s">
        <v>186</v>
      </c>
      <c r="E26" s="158">
        <f>'OPS BPD'!J17</f>
        <v>4000000</v>
      </c>
      <c r="F26" s="150" t="s">
        <v>25</v>
      </c>
    </row>
    <row r="27" spans="1:10" s="155" customFormat="1" ht="9" customHeight="1" x14ac:dyDescent="0.25">
      <c r="A27" s="156"/>
      <c r="B27" s="157"/>
      <c r="C27" s="58" t="s">
        <v>371</v>
      </c>
      <c r="D27" s="55" t="s">
        <v>193</v>
      </c>
      <c r="E27" s="158">
        <f>'RT RW'!J18</f>
        <v>143940000</v>
      </c>
      <c r="F27" s="150" t="s">
        <v>25</v>
      </c>
    </row>
    <row r="28" spans="1:10" s="155" customFormat="1" ht="9" customHeight="1" x14ac:dyDescent="0.25">
      <c r="A28" s="156"/>
      <c r="B28" s="157"/>
      <c r="C28" s="58" t="s">
        <v>372</v>
      </c>
      <c r="D28" s="55" t="s">
        <v>200</v>
      </c>
      <c r="E28" s="158">
        <f>'OPS PEMDES 3%'!J28</f>
        <v>38129000</v>
      </c>
      <c r="F28" s="150" t="s">
        <v>50</v>
      </c>
    </row>
    <row r="29" spans="1:10" s="155" customFormat="1" ht="9" customHeight="1" x14ac:dyDescent="0.25">
      <c r="A29" s="156"/>
      <c r="B29" s="157"/>
      <c r="C29" s="58" t="s">
        <v>373</v>
      </c>
      <c r="D29" s="55" t="s">
        <v>227</v>
      </c>
      <c r="E29" s="158">
        <f>'SARPRAS KANTOR DESA'!J43</f>
        <v>175195000</v>
      </c>
      <c r="F29" s="150" t="s">
        <v>54</v>
      </c>
    </row>
    <row r="30" spans="1:10" s="155" customFormat="1" ht="9" customHeight="1" x14ac:dyDescent="0.25">
      <c r="A30" s="156"/>
      <c r="B30" s="157"/>
      <c r="C30" s="58" t="s">
        <v>285</v>
      </c>
      <c r="D30" s="55" t="s">
        <v>241</v>
      </c>
      <c r="E30" s="158">
        <f>'SUN RKP'!J33</f>
        <v>2705000</v>
      </c>
      <c r="F30" s="150" t="s">
        <v>50</v>
      </c>
    </row>
    <row r="31" spans="1:10" s="155" customFormat="1" ht="9" customHeight="1" x14ac:dyDescent="0.25">
      <c r="A31" s="156"/>
      <c r="B31" s="157"/>
      <c r="C31" s="58" t="s">
        <v>286</v>
      </c>
      <c r="D31" s="362" t="s">
        <v>764</v>
      </c>
      <c r="E31" s="363">
        <f>'Sun APBDes'!M4</f>
        <v>4430000</v>
      </c>
      <c r="F31" s="150" t="s">
        <v>50</v>
      </c>
      <c r="G31" s="361"/>
      <c r="H31" s="361"/>
      <c r="I31" s="361"/>
      <c r="J31" s="361"/>
    </row>
    <row r="32" spans="1:10" s="155" customFormat="1" ht="9" customHeight="1" x14ac:dyDescent="0.25">
      <c r="A32" s="156"/>
      <c r="B32" s="157"/>
      <c r="C32" s="58" t="s">
        <v>287</v>
      </c>
      <c r="D32" s="55" t="s">
        <v>243</v>
      </c>
      <c r="E32" s="158">
        <f>NONREGULER!J24</f>
        <v>2000000</v>
      </c>
      <c r="F32" s="150" t="s">
        <v>58</v>
      </c>
    </row>
    <row r="33" spans="1:6" s="155" customFormat="1" ht="9" customHeight="1" x14ac:dyDescent="0.25">
      <c r="A33" s="156"/>
      <c r="B33" s="157"/>
      <c r="C33" s="58" t="s">
        <v>288</v>
      </c>
      <c r="D33" s="360" t="s">
        <v>247</v>
      </c>
      <c r="E33" s="158">
        <f>'SUN KEBIJAKAN DESA'!J21</f>
        <v>500000</v>
      </c>
      <c r="F33" s="150" t="s">
        <v>420</v>
      </c>
    </row>
    <row r="34" spans="1:6" s="155" customFormat="1" ht="9" customHeight="1" x14ac:dyDescent="0.25">
      <c r="A34" s="156"/>
      <c r="B34" s="157"/>
      <c r="C34" s="58" t="s">
        <v>289</v>
      </c>
      <c r="D34" s="55" t="s">
        <v>252</v>
      </c>
      <c r="E34" s="159">
        <f>'SPPT PBB'!J18</f>
        <v>20330000</v>
      </c>
      <c r="F34" s="150" t="s">
        <v>54</v>
      </c>
    </row>
    <row r="35" spans="1:6" s="155" customFormat="1" ht="9" customHeight="1" x14ac:dyDescent="0.25">
      <c r="A35" s="156"/>
      <c r="B35" s="157"/>
      <c r="C35" s="58" t="s">
        <v>290</v>
      </c>
      <c r="D35" s="360" t="s">
        <v>771</v>
      </c>
      <c r="E35" s="159">
        <f>'OPERASIONAL PAJAK'!M3</f>
        <v>2514000</v>
      </c>
      <c r="F35" s="379" t="s">
        <v>173</v>
      </c>
    </row>
    <row r="36" spans="1:6" s="155" customFormat="1" x14ac:dyDescent="0.25">
      <c r="A36" s="156"/>
      <c r="B36" s="157"/>
      <c r="C36" s="58" t="s">
        <v>291</v>
      </c>
      <c r="D36" s="55" t="s">
        <v>908</v>
      </c>
      <c r="E36" s="159"/>
      <c r="F36" s="150" t="s">
        <v>688</v>
      </c>
    </row>
    <row r="37" spans="1:6" s="74" customFormat="1" ht="9" customHeight="1" x14ac:dyDescent="0.25">
      <c r="A37" s="146" t="s">
        <v>438</v>
      </c>
      <c r="B37" s="147"/>
      <c r="C37" s="1403" t="s">
        <v>74</v>
      </c>
      <c r="D37" s="1404"/>
      <c r="E37" s="148">
        <f>SUM(E38:E47)</f>
        <v>423691500</v>
      </c>
      <c r="F37" s="149"/>
    </row>
    <row r="38" spans="1:6" ht="9" customHeight="1" x14ac:dyDescent="0.25">
      <c r="A38" s="48"/>
      <c r="B38" s="49"/>
      <c r="C38" s="58" t="s">
        <v>163</v>
      </c>
      <c r="D38" s="55" t="str">
        <f>'PAUD TPQ'!D6</f>
        <v>Penyelanggaraan PAUD.TPA/TKA/TPQ/Madrasah Non Formal Milik Desa (Honor, Pakaian, dll)</v>
      </c>
      <c r="E38" s="158">
        <f>'PAUD TPQ'!J18</f>
        <v>24000000</v>
      </c>
      <c r="F38" s="150" t="s">
        <v>50</v>
      </c>
    </row>
    <row r="39" spans="1:6" ht="9" customHeight="1" x14ac:dyDescent="0.25">
      <c r="A39" s="48"/>
      <c r="B39" s="49"/>
      <c r="C39" s="58" t="s">
        <v>164</v>
      </c>
      <c r="D39" s="55" t="str">
        <f>POSYANDU!D6</f>
        <v>Penyelenggaraan Posyandu (PMT, Kelas Ibu Hamil, Lansia, Insentif)</v>
      </c>
      <c r="E39" s="158">
        <f>POSYANDU!J51</f>
        <v>67284000</v>
      </c>
      <c r="F39" s="150" t="s">
        <v>50</v>
      </c>
    </row>
    <row r="40" spans="1:6" ht="9" customHeight="1" x14ac:dyDescent="0.25">
      <c r="A40" s="48"/>
      <c r="B40" s="49"/>
      <c r="C40" s="58"/>
      <c r="D40" s="55" t="s">
        <v>909</v>
      </c>
      <c r="E40" s="158"/>
      <c r="F40" s="150"/>
    </row>
    <row r="41" spans="1:6" ht="9" customHeight="1" x14ac:dyDescent="0.25">
      <c r="A41" s="48"/>
      <c r="B41" s="49"/>
      <c r="C41" s="58" t="s">
        <v>165</v>
      </c>
      <c r="D41" s="55" t="s">
        <v>797</v>
      </c>
      <c r="E41" s="158">
        <f>'RT 02 RW 01'!J3</f>
        <v>84804800</v>
      </c>
      <c r="F41" s="150" t="s">
        <v>50</v>
      </c>
    </row>
    <row r="42" spans="1:6" ht="9" customHeight="1" x14ac:dyDescent="0.25">
      <c r="A42" s="48"/>
      <c r="B42" s="49"/>
      <c r="C42" s="58" t="s">
        <v>166</v>
      </c>
      <c r="D42" s="55" t="s">
        <v>798</v>
      </c>
      <c r="E42" s="158">
        <f>'RW 2'!O2</f>
        <v>56239000</v>
      </c>
      <c r="F42" s="150" t="s">
        <v>50</v>
      </c>
    </row>
    <row r="43" spans="1:6" ht="9" customHeight="1" x14ac:dyDescent="0.25">
      <c r="A43" s="48"/>
      <c r="B43" s="49"/>
      <c r="C43" s="58" t="s">
        <v>369</v>
      </c>
      <c r="D43" s="360" t="s">
        <v>780</v>
      </c>
      <c r="E43" s="158">
        <f>'RT 15 RW 3'!N3</f>
        <v>52002100</v>
      </c>
      <c r="F43" s="150" t="s">
        <v>50</v>
      </c>
    </row>
    <row r="44" spans="1:6" ht="9" customHeight="1" x14ac:dyDescent="0.25">
      <c r="A44" s="48"/>
      <c r="B44" s="49"/>
      <c r="C44" s="58" t="s">
        <v>370</v>
      </c>
      <c r="D44" s="55" t="s">
        <v>799</v>
      </c>
      <c r="E44" s="158">
        <f>'RW 04.'!T4</f>
        <v>34674100</v>
      </c>
      <c r="F44" s="150" t="s">
        <v>50</v>
      </c>
    </row>
    <row r="45" spans="1:6" ht="9" customHeight="1" x14ac:dyDescent="0.25">
      <c r="A45" s="48"/>
      <c r="B45" s="49"/>
      <c r="C45" s="58" t="s">
        <v>371</v>
      </c>
      <c r="D45" s="55" t="s">
        <v>800</v>
      </c>
      <c r="E45" s="158">
        <f>'RW 5'!T3</f>
        <v>54116400</v>
      </c>
      <c r="F45" s="150" t="s">
        <v>50</v>
      </c>
    </row>
    <row r="46" spans="1:6" ht="9" customHeight="1" x14ac:dyDescent="0.25">
      <c r="A46" s="48"/>
      <c r="B46" s="49"/>
      <c r="C46" s="58" t="s">
        <v>372</v>
      </c>
      <c r="D46" s="55" t="s">
        <v>801</v>
      </c>
      <c r="E46" s="158">
        <f>'RW 06'!I2</f>
        <v>45571100</v>
      </c>
      <c r="F46" s="150" t="s">
        <v>50</v>
      </c>
    </row>
    <row r="47" spans="1:6" ht="9" customHeight="1" x14ac:dyDescent="0.25">
      <c r="A47" s="48"/>
      <c r="B47" s="49"/>
      <c r="C47" s="58" t="s">
        <v>373</v>
      </c>
      <c r="D47" s="55" t="s">
        <v>711</v>
      </c>
      <c r="E47" s="158">
        <f>PKTD!L17</f>
        <v>5000000</v>
      </c>
      <c r="F47" s="150" t="s">
        <v>50</v>
      </c>
    </row>
    <row r="48" spans="1:6" ht="9" customHeight="1" x14ac:dyDescent="0.25">
      <c r="A48" s="48"/>
      <c r="B48" s="49"/>
      <c r="C48" s="58" t="s">
        <v>285</v>
      </c>
      <c r="D48" s="55" t="s">
        <v>666</v>
      </c>
      <c r="E48" s="158">
        <f>'RW 07'!Q2</f>
        <v>89040200</v>
      </c>
      <c r="F48" s="150" t="s">
        <v>50</v>
      </c>
    </row>
    <row r="49" spans="1:6" s="74" customFormat="1" ht="9" customHeight="1" x14ac:dyDescent="0.25">
      <c r="A49" s="146" t="s">
        <v>439</v>
      </c>
      <c r="B49" s="147"/>
      <c r="C49" s="1403" t="s">
        <v>85</v>
      </c>
      <c r="D49" s="1404"/>
      <c r="E49" s="151">
        <f>E50+E51+E52+E53+E54+E55+E56+E57</f>
        <v>43040000</v>
      </c>
      <c r="F49" s="149"/>
    </row>
    <row r="50" spans="1:6" ht="9" customHeight="1" x14ac:dyDescent="0.25">
      <c r="A50" s="48"/>
      <c r="B50" s="49"/>
      <c r="C50" s="58" t="s">
        <v>163</v>
      </c>
      <c r="D50" s="55" t="str">
        <f>'OPS LPMD'!D6</f>
        <v>Pembinaan Kelembagaan LPMD</v>
      </c>
      <c r="E50" s="159">
        <f>'OPS LPMD'!J19</f>
        <v>3000000</v>
      </c>
      <c r="F50" s="150" t="s">
        <v>25</v>
      </c>
    </row>
    <row r="51" spans="1:6" ht="9" customHeight="1" x14ac:dyDescent="0.25">
      <c r="A51" s="48"/>
      <c r="B51" s="49"/>
      <c r="C51" s="58" t="s">
        <v>164</v>
      </c>
      <c r="D51" s="55" t="str">
        <f>'OPS KIM'!D6</f>
        <v>Pembinaan Kelembagaan Kelompok Informasi Masyarakat (KIM)</v>
      </c>
      <c r="E51" s="159">
        <f>'OPS KIM'!J18</f>
        <v>5000000</v>
      </c>
      <c r="F51" s="150" t="s">
        <v>50</v>
      </c>
    </row>
    <row r="52" spans="1:6" ht="9" customHeight="1" x14ac:dyDescent="0.25">
      <c r="A52" s="48"/>
      <c r="B52" s="49"/>
      <c r="C52" s="58" t="s">
        <v>165</v>
      </c>
      <c r="D52" s="55" t="str">
        <f>'OPS PB. PANDANLANDUNG'!D6</f>
        <v>Pembinaan Kelembagaan PB. PANDANLANDUNG</v>
      </c>
      <c r="E52" s="159">
        <f>'OPS PB. PANDANLANDUNG'!J19</f>
        <v>5000000</v>
      </c>
      <c r="F52" s="150" t="s">
        <v>50</v>
      </c>
    </row>
    <row r="53" spans="1:6" ht="9" customHeight="1" x14ac:dyDescent="0.25">
      <c r="A53" s="48"/>
      <c r="B53" s="49"/>
      <c r="C53" s="58" t="s">
        <v>166</v>
      </c>
      <c r="D53" s="55" t="str">
        <f>'OPS PSB PANDAWA'!D6</f>
        <v xml:space="preserve">Pembinaan Kelembagaan Paguyuban Sepak Bola </v>
      </c>
      <c r="E53" s="159">
        <f>'OPS PSB PANDAWA'!J19</f>
        <v>5000000</v>
      </c>
      <c r="F53" s="150" t="s">
        <v>50</v>
      </c>
    </row>
    <row r="54" spans="1:6" ht="9" customHeight="1" x14ac:dyDescent="0.25">
      <c r="A54" s="48"/>
      <c r="B54" s="49"/>
      <c r="C54" s="58" t="s">
        <v>369</v>
      </c>
      <c r="D54" s="55" t="str">
        <f>'OPS KESENIAN'!D6</f>
        <v>Pembinaan Kelembagaan Kesenian Desa</v>
      </c>
      <c r="E54" s="159">
        <f>'OPS PB. PANDANLANDUNG'!J19</f>
        <v>5000000</v>
      </c>
      <c r="F54" s="150" t="s">
        <v>50</v>
      </c>
    </row>
    <row r="55" spans="1:6" ht="9" customHeight="1" x14ac:dyDescent="0.25">
      <c r="A55" s="48"/>
      <c r="B55" s="49"/>
      <c r="C55" s="58" t="s">
        <v>370</v>
      </c>
      <c r="D55" s="55" t="str">
        <f>'OPS LINMAS'!D6</f>
        <v>Pelatihan Tanggap Bencana</v>
      </c>
      <c r="E55" s="159">
        <f>'OPS LINMAS'!J25</f>
        <v>4750000</v>
      </c>
      <c r="F55" s="150" t="s">
        <v>54</v>
      </c>
    </row>
    <row r="56" spans="1:6" ht="9" customHeight="1" x14ac:dyDescent="0.25">
      <c r="A56" s="48"/>
      <c r="B56" s="49"/>
      <c r="C56" s="58" t="s">
        <v>371</v>
      </c>
      <c r="D56" s="55" t="str">
        <f>'OPS FORUM ANAK'!D6</f>
        <v>Pembinaan Kelembagaan Forum Anak Desa</v>
      </c>
      <c r="E56" s="159">
        <f>'OPS FORUM ANAK'!J27</f>
        <v>5290000</v>
      </c>
      <c r="F56" s="150" t="s">
        <v>50</v>
      </c>
    </row>
    <row r="57" spans="1:6" ht="9" customHeight="1" x14ac:dyDescent="0.25">
      <c r="A57" s="48"/>
      <c r="B57" s="49"/>
      <c r="C57" s="58" t="s">
        <v>372</v>
      </c>
      <c r="D57" s="55" t="str">
        <f>'OPS PKK'!D6</f>
        <v>Pembinaan Kelembagaan PKK Desa</v>
      </c>
      <c r="E57" s="159">
        <f>'OPS PKK'!J27</f>
        <v>10000000</v>
      </c>
      <c r="F57" s="150" t="s">
        <v>25</v>
      </c>
    </row>
    <row r="58" spans="1:6" s="74" customFormat="1" ht="9" customHeight="1" x14ac:dyDescent="0.25">
      <c r="A58" s="146" t="s">
        <v>440</v>
      </c>
      <c r="B58" s="147"/>
      <c r="C58" s="1403" t="s">
        <v>365</v>
      </c>
      <c r="D58" s="1404"/>
      <c r="E58" s="151" t="e">
        <f>SUM(E59:E61)</f>
        <v>#REF!</v>
      </c>
      <c r="F58" s="149"/>
    </row>
    <row r="59" spans="1:6" s="74" customFormat="1" ht="9" customHeight="1" x14ac:dyDescent="0.25">
      <c r="A59" s="146"/>
      <c r="B59" s="147"/>
      <c r="C59" s="145"/>
      <c r="D59" s="55" t="s">
        <v>686</v>
      </c>
      <c r="E59" s="163">
        <f>'OPS ILAL AHAD'!M5</f>
        <v>5000000</v>
      </c>
      <c r="F59" s="149" t="s">
        <v>687</v>
      </c>
    </row>
    <row r="60" spans="1:6" ht="9" customHeight="1" x14ac:dyDescent="0.25">
      <c r="A60" s="48"/>
      <c r="B60" s="49"/>
      <c r="C60" s="58" t="s">
        <v>163</v>
      </c>
      <c r="D60" s="55" t="e">
        <f>#REF!</f>
        <v>#REF!</v>
      </c>
      <c r="E60" s="159" t="e">
        <f>#REF!</f>
        <v>#REF!</v>
      </c>
      <c r="F60" s="150" t="s">
        <v>50</v>
      </c>
    </row>
    <row r="61" spans="1:6" customFormat="1" ht="13.2" x14ac:dyDescent="0.25">
      <c r="A61" s="48"/>
      <c r="B61" s="49"/>
      <c r="C61" s="58" t="s">
        <v>164</v>
      </c>
      <c r="D61" s="55" t="s">
        <v>703</v>
      </c>
      <c r="E61" s="159">
        <f>'OPS RW'!M3</f>
        <v>35000000</v>
      </c>
      <c r="F61" s="150"/>
    </row>
    <row r="62" spans="1:6" s="74" customFormat="1" ht="9" customHeight="1" x14ac:dyDescent="0.25">
      <c r="A62" s="146" t="s">
        <v>441</v>
      </c>
      <c r="B62" s="147"/>
      <c r="C62" s="1403" t="s">
        <v>366</v>
      </c>
      <c r="D62" s="1404"/>
      <c r="E62" s="151" t="e">
        <f>SUM(E63:E64)</f>
        <v>#REF!</v>
      </c>
      <c r="F62" s="149"/>
    </row>
    <row r="63" spans="1:6" ht="9" customHeight="1" x14ac:dyDescent="0.25">
      <c r="A63" s="60"/>
      <c r="B63" s="61"/>
      <c r="C63" s="58" t="s">
        <v>163</v>
      </c>
      <c r="D63" s="55" t="s">
        <v>350</v>
      </c>
      <c r="E63" s="56">
        <f>'BLT DD'!J18</f>
        <v>144000000</v>
      </c>
      <c r="F63" s="150" t="s">
        <v>50</v>
      </c>
    </row>
    <row r="64" spans="1:6" customFormat="1" ht="9.75" customHeight="1" x14ac:dyDescent="0.25">
      <c r="A64" s="62"/>
      <c r="B64" s="63"/>
      <c r="C64" s="64"/>
      <c r="D64" s="65" t="s">
        <v>702</v>
      </c>
      <c r="E64" s="66" t="e">
        <f>#REF!</f>
        <v>#REF!</v>
      </c>
      <c r="F64" s="152" t="s">
        <v>50</v>
      </c>
    </row>
    <row r="65" spans="1:6" ht="15" customHeight="1" x14ac:dyDescent="0.25">
      <c r="A65" s="1407" t="s">
        <v>377</v>
      </c>
      <c r="B65" s="1407"/>
      <c r="C65" s="1407"/>
      <c r="D65" s="1407"/>
      <c r="E65" s="153" t="e">
        <f>E62+E58+E49+E37+E20</f>
        <v>#REF!</v>
      </c>
      <c r="F65" s="160"/>
    </row>
    <row r="66" spans="1:6" s="47" customFormat="1" ht="15" customHeight="1" x14ac:dyDescent="0.25">
      <c r="A66" s="1407" t="s">
        <v>378</v>
      </c>
      <c r="B66" s="1407"/>
      <c r="C66" s="1407"/>
      <c r="D66" s="1407"/>
      <c r="E66" s="153" t="e">
        <f>E18-E65</f>
        <v>#REF!</v>
      </c>
      <c r="F66" s="161"/>
    </row>
    <row r="67" spans="1:6" x14ac:dyDescent="0.25">
      <c r="A67" s="70"/>
      <c r="B67" s="70"/>
    </row>
    <row r="68" spans="1:6" x14ac:dyDescent="0.25">
      <c r="A68" s="70"/>
      <c r="B68" s="70"/>
    </row>
    <row r="69" spans="1:6" ht="11.25" customHeight="1" x14ac:dyDescent="0.25">
      <c r="A69" s="70"/>
      <c r="B69" s="70"/>
      <c r="D69" s="1356"/>
      <c r="E69" s="1356"/>
      <c r="F69" s="164"/>
    </row>
    <row r="70" spans="1:6" ht="9" customHeight="1" x14ac:dyDescent="0.25">
      <c r="D70" s="165"/>
      <c r="E70" s="166"/>
      <c r="F70" s="72"/>
    </row>
    <row r="71" spans="1:6" ht="9" customHeight="1" x14ac:dyDescent="0.25">
      <c r="D71" s="165"/>
      <c r="E71" s="166"/>
      <c r="F71" s="72"/>
    </row>
    <row r="72" spans="1:6" ht="9" customHeight="1" x14ac:dyDescent="0.25">
      <c r="D72" s="165"/>
      <c r="E72" s="166"/>
      <c r="F72" s="72"/>
    </row>
    <row r="73" spans="1:6" ht="11.25" customHeight="1" x14ac:dyDescent="0.25">
      <c r="D73" s="1355"/>
      <c r="E73" s="1355"/>
      <c r="F73" s="167"/>
    </row>
  </sheetData>
  <mergeCells count="21">
    <mergeCell ref="C37:D37"/>
    <mergeCell ref="A2:F2"/>
    <mergeCell ref="A1:F1"/>
    <mergeCell ref="B19:D19"/>
    <mergeCell ref="C20:D20"/>
    <mergeCell ref="A4:F4"/>
    <mergeCell ref="A3:F3"/>
    <mergeCell ref="A18:D18"/>
    <mergeCell ref="C11:D11"/>
    <mergeCell ref="B6:D6"/>
    <mergeCell ref="B8:D8"/>
    <mergeCell ref="C9:D9"/>
    <mergeCell ref="C15:D15"/>
    <mergeCell ref="B7:D7"/>
    <mergeCell ref="C58:D58"/>
    <mergeCell ref="C49:D49"/>
    <mergeCell ref="C62:D62"/>
    <mergeCell ref="D73:E73"/>
    <mergeCell ref="D69:E69"/>
    <mergeCell ref="A66:D66"/>
    <mergeCell ref="A65:D65"/>
  </mergeCells>
  <phoneticPr fontId="69" type="noConversion"/>
  <pageMargins left="0.7" right="0.55000000000000004" top="0.75" bottom="0.75" header="0.3" footer="0.3"/>
  <pageSetup paperSize="14" fitToWidth="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R61"/>
  <sheetViews>
    <sheetView topLeftCell="A2" zoomScale="170" zoomScaleNormal="170" workbookViewId="0">
      <selection activeCell="B17" sqref="B17"/>
    </sheetView>
  </sheetViews>
  <sheetFormatPr defaultColWidth="9.33203125" defaultRowHeight="13.2" x14ac:dyDescent="0.25"/>
  <cols>
    <col min="1" max="1" width="11.77734375" style="72" customWidth="1"/>
    <col min="2" max="2" width="40.77734375" style="72" customWidth="1"/>
    <col min="3" max="3" width="9.33203125" style="72" customWidth="1"/>
    <col min="4" max="4" width="2" style="72" customWidth="1"/>
    <col min="5" max="5" width="5.44140625" style="72" customWidth="1"/>
    <col min="6" max="6" width="4.44140625" style="72" customWidth="1"/>
    <col min="7" max="7" width="12" style="72" customWidth="1"/>
    <col min="8" max="8" width="14.33203125" style="72" customWidth="1"/>
    <col min="9" max="10" width="9.33203125" style="72"/>
    <col min="11" max="11" width="9.33203125" style="72" customWidth="1"/>
    <col min="12" max="16384" width="9.33203125" style="72"/>
  </cols>
  <sheetData>
    <row r="1" spans="1:18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</row>
    <row r="2" spans="1:18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J2" s="1367" t="s">
        <v>421</v>
      </c>
      <c r="K2" s="1367"/>
      <c r="L2" s="1367"/>
    </row>
    <row r="3" spans="1:18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J3" s="74" t="s">
        <v>25</v>
      </c>
      <c r="K3" s="1366">
        <f>H19</f>
        <v>59520000</v>
      </c>
      <c r="L3" s="1366"/>
    </row>
    <row r="4" spans="1:18" ht="16.5" customHeight="1" x14ac:dyDescent="0.25">
      <c r="A4" s="73"/>
      <c r="B4" s="73"/>
      <c r="C4" s="73"/>
      <c r="D4" s="73"/>
      <c r="E4" s="73"/>
      <c r="F4" s="73"/>
      <c r="G4" s="73"/>
      <c r="H4" s="73"/>
    </row>
    <row r="5" spans="1:18" ht="12" customHeight="1" x14ac:dyDescent="0.25">
      <c r="A5" s="77" t="s">
        <v>1</v>
      </c>
      <c r="B5" s="1382" t="s">
        <v>2</v>
      </c>
      <c r="C5" s="1382"/>
      <c r="D5" s="1382"/>
      <c r="E5" s="1382"/>
      <c r="F5" s="1382"/>
      <c r="G5" s="1382"/>
      <c r="H5" s="1382"/>
    </row>
    <row r="6" spans="1:18" ht="12" customHeight="1" x14ac:dyDescent="0.25">
      <c r="A6" s="77" t="s">
        <v>3</v>
      </c>
      <c r="B6" s="1382" t="s">
        <v>1063</v>
      </c>
      <c r="C6" s="1382"/>
      <c r="D6" s="1382"/>
      <c r="E6" s="1382"/>
      <c r="F6" s="1382"/>
      <c r="G6" s="1382"/>
      <c r="H6" s="1382"/>
    </row>
    <row r="7" spans="1:18" ht="12" customHeight="1" x14ac:dyDescent="0.25">
      <c r="A7" s="77" t="s">
        <v>4</v>
      </c>
      <c r="B7" s="1382" t="s">
        <v>5</v>
      </c>
      <c r="C7" s="1382"/>
      <c r="D7" s="1382"/>
      <c r="E7" s="1382"/>
      <c r="F7" s="1382"/>
      <c r="G7" s="1382"/>
      <c r="H7" s="1382"/>
    </row>
    <row r="8" spans="1:18" ht="12" customHeight="1" x14ac:dyDescent="0.25">
      <c r="A8" s="77" t="s">
        <v>6</v>
      </c>
      <c r="B8" s="1382" t="s">
        <v>7</v>
      </c>
      <c r="C8" s="1382"/>
      <c r="D8" s="1382"/>
      <c r="E8" s="1382"/>
      <c r="F8" s="1382"/>
      <c r="G8" s="1382"/>
      <c r="H8" s="1382"/>
    </row>
    <row r="9" spans="1:18" ht="13.5" customHeight="1" x14ac:dyDescent="0.25">
      <c r="A9" s="168"/>
      <c r="B9" s="1413"/>
      <c r="C9" s="1413"/>
      <c r="D9" s="1413"/>
      <c r="E9" s="1413"/>
      <c r="F9" s="1413"/>
      <c r="G9" s="1413"/>
      <c r="H9" s="1413"/>
    </row>
    <row r="10" spans="1:18" ht="15" customHeight="1" x14ac:dyDescent="0.25">
      <c r="A10" s="1410" t="s">
        <v>10</v>
      </c>
      <c r="B10" s="1376" t="s">
        <v>12</v>
      </c>
      <c r="C10" s="1377"/>
      <c r="D10" s="1377"/>
      <c r="E10" s="1376" t="s">
        <v>8</v>
      </c>
      <c r="F10" s="1377"/>
      <c r="G10" s="1377"/>
      <c r="H10" s="1412"/>
    </row>
    <row r="11" spans="1:18" s="79" customFormat="1" ht="23.25" customHeight="1" x14ac:dyDescent="0.25">
      <c r="A11" s="1411"/>
      <c r="B11" s="1383"/>
      <c r="C11" s="1384"/>
      <c r="D11" s="1384"/>
      <c r="E11" s="1375" t="s">
        <v>13</v>
      </c>
      <c r="F11" s="1375"/>
      <c r="G11" s="80" t="s">
        <v>14</v>
      </c>
      <c r="H11" s="169" t="s">
        <v>15</v>
      </c>
    </row>
    <row r="12" spans="1:18" s="79" customFormat="1" ht="9" customHeight="1" x14ac:dyDescent="0.25">
      <c r="A12" s="170">
        <v>1</v>
      </c>
      <c r="B12" s="1385">
        <v>2</v>
      </c>
      <c r="C12" s="1409"/>
      <c r="D12" s="1386"/>
      <c r="E12" s="1385">
        <v>3</v>
      </c>
      <c r="F12" s="1386"/>
      <c r="G12" s="82">
        <v>4</v>
      </c>
      <c r="H12" s="171">
        <v>5</v>
      </c>
    </row>
    <row r="13" spans="1:18" ht="17.100000000000001" customHeight="1" x14ac:dyDescent="0.25">
      <c r="A13" s="172">
        <v>5</v>
      </c>
      <c r="B13" s="1368" t="s">
        <v>16</v>
      </c>
      <c r="C13" s="1369"/>
      <c r="D13" s="1370"/>
      <c r="E13" s="84"/>
      <c r="F13" s="173"/>
      <c r="G13" s="174"/>
      <c r="H13" s="175">
        <f>H14</f>
        <v>59520000</v>
      </c>
      <c r="J13" s="1387" t="s">
        <v>345</v>
      </c>
      <c r="K13" s="1387"/>
      <c r="L13" s="1387"/>
      <c r="M13" s="1387"/>
      <c r="N13" s="1387"/>
      <c r="O13" s="1387"/>
      <c r="P13" s="1387"/>
      <c r="Q13" s="1387"/>
      <c r="R13" s="1387"/>
    </row>
    <row r="14" spans="1:18" ht="15.6" customHeight="1" x14ac:dyDescent="0.25">
      <c r="A14" s="176" t="s">
        <v>17</v>
      </c>
      <c r="B14" s="94" t="s">
        <v>18</v>
      </c>
      <c r="C14" s="177"/>
      <c r="D14" s="178"/>
      <c r="E14" s="179"/>
      <c r="F14" s="180"/>
      <c r="G14" s="107"/>
      <c r="H14" s="181">
        <f>H17+H15</f>
        <v>59520000</v>
      </c>
      <c r="J14" s="1387"/>
      <c r="K14" s="1387"/>
      <c r="L14" s="1387"/>
      <c r="M14" s="1387"/>
      <c r="N14" s="1387"/>
      <c r="O14" s="1387"/>
      <c r="P14" s="1387"/>
      <c r="Q14" s="1387"/>
      <c r="R14" s="1387"/>
    </row>
    <row r="15" spans="1:18" ht="15.6" customHeight="1" x14ac:dyDescent="0.25">
      <c r="A15" s="176" t="s">
        <v>19</v>
      </c>
      <c r="B15" s="104" t="s">
        <v>452</v>
      </c>
      <c r="C15" s="110"/>
      <c r="D15" s="111"/>
      <c r="E15" s="182"/>
      <c r="F15" s="183"/>
      <c r="G15" s="107"/>
      <c r="H15" s="184">
        <f>H16</f>
        <v>48000000</v>
      </c>
      <c r="J15" s="1387"/>
      <c r="K15" s="1387"/>
      <c r="L15" s="1387"/>
      <c r="M15" s="1387"/>
      <c r="N15" s="1387"/>
      <c r="O15" s="1387"/>
      <c r="P15" s="1387"/>
      <c r="Q15" s="1387"/>
      <c r="R15" s="1387"/>
    </row>
    <row r="16" spans="1:18" ht="15.6" customHeight="1" x14ac:dyDescent="0.25">
      <c r="A16" s="176"/>
      <c r="B16" s="104" t="s">
        <v>185</v>
      </c>
      <c r="C16" s="110" t="s">
        <v>25</v>
      </c>
      <c r="D16" s="111"/>
      <c r="E16" s="116">
        <v>12</v>
      </c>
      <c r="F16" s="185" t="s">
        <v>9</v>
      </c>
      <c r="G16" s="114">
        <v>4000000</v>
      </c>
      <c r="H16" s="186">
        <f>G16*E16</f>
        <v>48000000</v>
      </c>
      <c r="J16" s="1387"/>
      <c r="K16" s="1387"/>
      <c r="L16" s="1387"/>
      <c r="M16" s="1387"/>
      <c r="N16" s="1387"/>
      <c r="O16" s="1387"/>
      <c r="P16" s="1387"/>
      <c r="Q16" s="1387"/>
      <c r="R16" s="1387"/>
    </row>
    <row r="17" spans="1:18" ht="14.1" customHeight="1" x14ac:dyDescent="0.25">
      <c r="A17" s="187" t="s">
        <v>20</v>
      </c>
      <c r="B17" s="104" t="s">
        <v>528</v>
      </c>
      <c r="C17" s="110"/>
      <c r="D17" s="111"/>
      <c r="E17" s="116"/>
      <c r="F17" s="180"/>
      <c r="G17" s="119"/>
      <c r="H17" s="188">
        <f>H18</f>
        <v>11520000</v>
      </c>
      <c r="J17" s="1387"/>
      <c r="K17" s="1387"/>
      <c r="L17" s="1387"/>
      <c r="M17" s="1387"/>
      <c r="N17" s="1387"/>
      <c r="O17" s="1387"/>
      <c r="P17" s="1387"/>
      <c r="Q17" s="1387"/>
      <c r="R17" s="1387"/>
    </row>
    <row r="18" spans="1:18" ht="17.850000000000001" customHeight="1" x14ac:dyDescent="0.25">
      <c r="A18" s="189"/>
      <c r="B18" s="190" t="s">
        <v>185</v>
      </c>
      <c r="C18" s="123" t="s">
        <v>25</v>
      </c>
      <c r="D18" s="124"/>
      <c r="E18" s="191">
        <v>12</v>
      </c>
      <c r="F18" s="192" t="s">
        <v>9</v>
      </c>
      <c r="G18" s="193">
        <v>960000</v>
      </c>
      <c r="H18" s="194">
        <f>G18*E18</f>
        <v>11520000</v>
      </c>
      <c r="J18" s="1387"/>
      <c r="K18" s="1387"/>
      <c r="L18" s="1387"/>
      <c r="M18" s="1387"/>
      <c r="N18" s="1387"/>
      <c r="O18" s="1387"/>
      <c r="P18" s="1387"/>
      <c r="Q18" s="1387"/>
      <c r="R18" s="1387"/>
    </row>
    <row r="19" spans="1:18" s="79" customFormat="1" ht="20.85" customHeight="1" x14ac:dyDescent="0.25">
      <c r="A19" s="195"/>
      <c r="B19" s="1357" t="s">
        <v>15</v>
      </c>
      <c r="C19" s="1358"/>
      <c r="D19" s="80"/>
      <c r="E19" s="1357"/>
      <c r="F19" s="1362"/>
      <c r="G19" s="127"/>
      <c r="H19" s="196">
        <f>H13</f>
        <v>59520000</v>
      </c>
      <c r="J19" s="98"/>
      <c r="K19" s="98"/>
      <c r="L19" s="98"/>
      <c r="M19" s="98"/>
      <c r="N19" s="98"/>
      <c r="O19" s="98"/>
      <c r="P19" s="98"/>
      <c r="Q19" s="98"/>
    </row>
    <row r="20" spans="1:18" s="79" customFormat="1" ht="9.75" customHeight="1" x14ac:dyDescent="0.25">
      <c r="A20" s="128"/>
      <c r="B20" s="78"/>
      <c r="C20" s="78"/>
      <c r="D20" s="78"/>
      <c r="E20" s="78"/>
      <c r="F20" s="78"/>
      <c r="G20" s="128"/>
      <c r="H20" s="130"/>
      <c r="J20" s="98"/>
      <c r="K20" s="98"/>
      <c r="L20" s="98"/>
      <c r="M20" s="98"/>
      <c r="N20" s="98"/>
      <c r="O20" s="98"/>
      <c r="P20" s="98"/>
      <c r="Q20" s="98"/>
    </row>
    <row r="21" spans="1:18" s="79" customFormat="1" ht="14.25" customHeight="1" x14ac:dyDescent="0.25">
      <c r="A21" s="131"/>
      <c r="B21" s="132"/>
      <c r="C21" s="132"/>
      <c r="D21" s="132"/>
      <c r="E21" s="1359" t="s">
        <v>1002</v>
      </c>
      <c r="F21" s="1360"/>
      <c r="G21" s="1360"/>
      <c r="H21" s="1360"/>
    </row>
    <row r="22" spans="1:18" s="133" customFormat="1" ht="15" customHeight="1" x14ac:dyDescent="0.25">
      <c r="A22" s="1356" t="s">
        <v>11</v>
      </c>
      <c r="B22" s="1356"/>
      <c r="C22" s="134"/>
      <c r="D22" s="134"/>
      <c r="E22" s="1356" t="s">
        <v>21</v>
      </c>
      <c r="F22" s="1356"/>
      <c r="G22" s="1356"/>
      <c r="H22" s="1356"/>
    </row>
    <row r="26" spans="1:18" s="74" customFormat="1" ht="10.199999999999999" x14ac:dyDescent="0.25">
      <c r="A26" s="1355" t="s">
        <v>1000</v>
      </c>
      <c r="B26" s="1355"/>
      <c r="E26" s="1355" t="s">
        <v>192</v>
      </c>
      <c r="F26" s="1355"/>
      <c r="G26" s="1355"/>
      <c r="H26" s="1355"/>
    </row>
    <row r="61" spans="1:8" x14ac:dyDescent="0.25">
      <c r="A61" s="197"/>
      <c r="B61" s="197"/>
      <c r="C61" s="197"/>
      <c r="D61" s="197"/>
      <c r="E61" s="197"/>
      <c r="F61" s="197"/>
      <c r="G61" s="197"/>
      <c r="H61" s="197"/>
    </row>
  </sheetData>
  <mergeCells count="25">
    <mergeCell ref="A2:H2"/>
    <mergeCell ref="E12:F12"/>
    <mergeCell ref="E19:F19"/>
    <mergeCell ref="B6:H6"/>
    <mergeCell ref="B8:H8"/>
    <mergeCell ref="E11:F11"/>
    <mergeCell ref="E10:H10"/>
    <mergeCell ref="B9:H9"/>
    <mergeCell ref="B7:H7"/>
    <mergeCell ref="J13:R18"/>
    <mergeCell ref="A3:H3"/>
    <mergeCell ref="K3:L3"/>
    <mergeCell ref="A1:H1"/>
    <mergeCell ref="E26:H26"/>
    <mergeCell ref="A26:B26"/>
    <mergeCell ref="E22:H22"/>
    <mergeCell ref="A22:B22"/>
    <mergeCell ref="E21:H21"/>
    <mergeCell ref="B19:C19"/>
    <mergeCell ref="J2:L2"/>
    <mergeCell ref="B12:D12"/>
    <mergeCell ref="A10:A11"/>
    <mergeCell ref="B5:H5"/>
    <mergeCell ref="B13:D13"/>
    <mergeCell ref="B10:D11"/>
  </mergeCells>
  <pageMargins left="0.85" right="0.65" top="0.75" bottom="0.75" header="0.3" footer="0.3"/>
  <pageSetup paperSize="14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S33"/>
  <sheetViews>
    <sheetView topLeftCell="A11" zoomScale="200" zoomScaleNormal="200" workbookViewId="0">
      <selection activeCell="M26" sqref="M26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25</v>
      </c>
      <c r="M3" s="1366">
        <f>J21+J15</f>
        <v>339168000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135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136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J14+J20</f>
        <v>339168000</v>
      </c>
    </row>
    <row r="14" spans="1:19" ht="15.15" customHeight="1" x14ac:dyDescent="0.25">
      <c r="A14" s="89" t="s">
        <v>17</v>
      </c>
      <c r="B14" s="1371" t="s">
        <v>122</v>
      </c>
      <c r="C14" s="1372"/>
      <c r="D14" s="1372"/>
      <c r="E14" s="92"/>
      <c r="F14" s="93"/>
      <c r="G14" s="94"/>
      <c r="H14" s="95"/>
      <c r="I14" s="96"/>
      <c r="J14" s="97">
        <f>J15</f>
        <v>300000000</v>
      </c>
    </row>
    <row r="15" spans="1:19" ht="14.1" customHeight="1" x14ac:dyDescent="0.25">
      <c r="A15" s="99" t="s">
        <v>19</v>
      </c>
      <c r="B15" s="100"/>
      <c r="C15" s="1361" t="s">
        <v>129</v>
      </c>
      <c r="D15" s="1361"/>
      <c r="E15" s="102"/>
      <c r="F15" s="103"/>
      <c r="G15" s="104"/>
      <c r="H15" s="95"/>
      <c r="I15" s="105"/>
      <c r="J15" s="106">
        <f>SUM(J16:J19)</f>
        <v>300000000</v>
      </c>
      <c r="L15" s="1387" t="s">
        <v>345</v>
      </c>
      <c r="M15" s="1387"/>
      <c r="N15" s="1387"/>
      <c r="O15" s="1387"/>
      <c r="P15" s="1387"/>
      <c r="Q15" s="1387"/>
      <c r="R15" s="1387"/>
      <c r="S15" s="1387"/>
    </row>
    <row r="16" spans="1:19" ht="13.5" customHeight="1" x14ac:dyDescent="0.25">
      <c r="A16" s="107"/>
      <c r="B16" s="108"/>
      <c r="C16" s="109" t="s">
        <v>123</v>
      </c>
      <c r="D16" s="102" t="s">
        <v>130</v>
      </c>
      <c r="E16" s="110" t="s">
        <v>25</v>
      </c>
      <c r="F16" s="111"/>
      <c r="G16" s="112">
        <v>12</v>
      </c>
      <c r="H16" s="113" t="s">
        <v>9</v>
      </c>
      <c r="I16" s="114">
        <v>2500000</v>
      </c>
      <c r="J16" s="114">
        <f>I16*G16</f>
        <v>30000000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09" t="s">
        <v>124</v>
      </c>
      <c r="D17" s="102" t="s">
        <v>131</v>
      </c>
      <c r="E17" s="110" t="s">
        <v>25</v>
      </c>
      <c r="F17" s="111"/>
      <c r="G17" s="116">
        <v>36</v>
      </c>
      <c r="H17" s="117" t="s">
        <v>9</v>
      </c>
      <c r="I17" s="118">
        <v>2250000</v>
      </c>
      <c r="J17" s="118">
        <f>I17*G17</f>
        <v>81000000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ht="13.5" customHeight="1" x14ac:dyDescent="0.25">
      <c r="A18" s="107"/>
      <c r="B18" s="108"/>
      <c r="C18" s="109" t="s">
        <v>125</v>
      </c>
      <c r="D18" s="102" t="s">
        <v>132</v>
      </c>
      <c r="E18" s="110" t="s">
        <v>25</v>
      </c>
      <c r="F18" s="111"/>
      <c r="G18" s="116">
        <v>36</v>
      </c>
      <c r="H18" s="117" t="s">
        <v>9</v>
      </c>
      <c r="I18" s="118">
        <v>2250000</v>
      </c>
      <c r="J18" s="118">
        <f>I18*G18</f>
        <v>81000000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ht="13.5" customHeight="1" x14ac:dyDescent="0.25">
      <c r="A19" s="119"/>
      <c r="B19" s="120"/>
      <c r="C19" s="121" t="s">
        <v>126</v>
      </c>
      <c r="D19" s="122" t="s">
        <v>133</v>
      </c>
      <c r="E19" s="123" t="s">
        <v>25</v>
      </c>
      <c r="F19" s="124"/>
      <c r="G19" s="125">
        <v>48</v>
      </c>
      <c r="H19" s="126" t="s">
        <v>9</v>
      </c>
      <c r="I19" s="106">
        <v>2250000</v>
      </c>
      <c r="J19" s="106">
        <f>I19*G19</f>
        <v>108000000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ht="15.6" customHeight="1" x14ac:dyDescent="0.25">
      <c r="A20" s="89" t="s">
        <v>17</v>
      </c>
      <c r="B20" s="1371" t="s">
        <v>122</v>
      </c>
      <c r="C20" s="1372"/>
      <c r="D20" s="1372"/>
      <c r="E20" s="177"/>
      <c r="F20" s="178"/>
      <c r="G20" s="179"/>
      <c r="H20" s="180"/>
      <c r="I20" s="107"/>
      <c r="J20" s="97">
        <f>J21</f>
        <v>39168000</v>
      </c>
      <c r="L20" s="1387"/>
      <c r="M20" s="1387"/>
      <c r="N20" s="1387"/>
      <c r="O20" s="1387"/>
      <c r="P20" s="1387"/>
      <c r="Q20" s="1387"/>
      <c r="R20" s="1387"/>
      <c r="S20" s="1387"/>
    </row>
    <row r="21" spans="1:19" ht="14.1" customHeight="1" x14ac:dyDescent="0.25">
      <c r="A21" s="99" t="s">
        <v>20</v>
      </c>
      <c r="B21" s="100"/>
      <c r="C21" s="1361" t="s">
        <v>422</v>
      </c>
      <c r="D21" s="1361"/>
      <c r="E21" s="110"/>
      <c r="F21" s="111"/>
      <c r="G21" s="125"/>
      <c r="H21" s="198"/>
      <c r="I21" s="119"/>
      <c r="J21" s="106">
        <f>SUM(J22:J25)</f>
        <v>39168000</v>
      </c>
    </row>
    <row r="22" spans="1:19" ht="14.1" customHeight="1" x14ac:dyDescent="0.25">
      <c r="A22" s="99"/>
      <c r="B22" s="100"/>
      <c r="C22" s="109" t="s">
        <v>123</v>
      </c>
      <c r="D22" s="102" t="s">
        <v>130</v>
      </c>
      <c r="E22" s="110" t="s">
        <v>25</v>
      </c>
      <c r="F22" s="111"/>
      <c r="G22" s="116">
        <v>12</v>
      </c>
      <c r="H22" s="117" t="s">
        <v>9</v>
      </c>
      <c r="I22" s="118">
        <v>384000</v>
      </c>
      <c r="J22" s="118">
        <f>I22*G22</f>
        <v>4608000</v>
      </c>
    </row>
    <row r="23" spans="1:19" ht="14.1" customHeight="1" x14ac:dyDescent="0.25">
      <c r="A23" s="99"/>
      <c r="B23" s="100"/>
      <c r="C23" s="109" t="s">
        <v>124</v>
      </c>
      <c r="D23" s="102" t="s">
        <v>131</v>
      </c>
      <c r="E23" s="110" t="s">
        <v>25</v>
      </c>
      <c r="F23" s="111"/>
      <c r="G23" s="116">
        <v>36</v>
      </c>
      <c r="H23" s="117" t="s">
        <v>9</v>
      </c>
      <c r="I23" s="118">
        <v>288000</v>
      </c>
      <c r="J23" s="118">
        <f>I23*G23</f>
        <v>10368000</v>
      </c>
    </row>
    <row r="24" spans="1:19" ht="14.1" customHeight="1" x14ac:dyDescent="0.25">
      <c r="A24" s="99"/>
      <c r="B24" s="100"/>
      <c r="C24" s="109" t="s">
        <v>125</v>
      </c>
      <c r="D24" s="102" t="s">
        <v>132</v>
      </c>
      <c r="E24" s="110" t="s">
        <v>25</v>
      </c>
      <c r="F24" s="111"/>
      <c r="G24" s="116">
        <v>36</v>
      </c>
      <c r="H24" s="117" t="s">
        <v>9</v>
      </c>
      <c r="I24" s="118">
        <v>288000</v>
      </c>
      <c r="J24" s="118">
        <f>I24*G24</f>
        <v>10368000</v>
      </c>
    </row>
    <row r="25" spans="1:19" ht="14.1" customHeight="1" x14ac:dyDescent="0.25">
      <c r="A25" s="99"/>
      <c r="B25" s="100"/>
      <c r="C25" s="109" t="s">
        <v>126</v>
      </c>
      <c r="D25" s="102" t="s">
        <v>133</v>
      </c>
      <c r="E25" s="110" t="s">
        <v>25</v>
      </c>
      <c r="F25" s="111"/>
      <c r="G25" s="116">
        <v>48</v>
      </c>
      <c r="H25" s="126" t="s">
        <v>9</v>
      </c>
      <c r="I25" s="118">
        <v>288000</v>
      </c>
      <c r="J25" s="118">
        <f>I25*G25</f>
        <v>13824000</v>
      </c>
    </row>
    <row r="26" spans="1:19" s="79" customFormat="1" ht="20.85" customHeight="1" x14ac:dyDescent="0.25">
      <c r="A26" s="127"/>
      <c r="B26" s="1357" t="s">
        <v>15</v>
      </c>
      <c r="C26" s="1358"/>
      <c r="D26" s="1358"/>
      <c r="E26" s="1358"/>
      <c r="F26" s="80"/>
      <c r="G26" s="1357"/>
      <c r="H26" s="1362"/>
      <c r="I26" s="127"/>
      <c r="J26" s="88">
        <f>J13</f>
        <v>339168000</v>
      </c>
    </row>
    <row r="27" spans="1:19" s="79" customFormat="1" ht="9.75" customHeight="1" x14ac:dyDescent="0.25">
      <c r="A27" s="128"/>
      <c r="B27" s="128"/>
      <c r="C27" s="129"/>
      <c r="D27" s="78"/>
      <c r="E27" s="78"/>
      <c r="F27" s="78"/>
      <c r="G27" s="78"/>
      <c r="H27" s="78"/>
      <c r="I27" s="128"/>
      <c r="J27" s="130"/>
    </row>
    <row r="28" spans="1:19" s="79" customFormat="1" ht="14.25" customHeight="1" x14ac:dyDescent="0.25">
      <c r="A28" s="131"/>
      <c r="B28" s="131"/>
      <c r="C28" s="109"/>
      <c r="D28" s="132"/>
      <c r="E28" s="132"/>
      <c r="F28" s="132"/>
      <c r="G28" s="1359" t="s">
        <v>1002</v>
      </c>
      <c r="H28" s="1360"/>
      <c r="I28" s="1360"/>
      <c r="J28" s="1360"/>
    </row>
    <row r="29" spans="1:19" s="133" customFormat="1" ht="15" customHeight="1" x14ac:dyDescent="0.25">
      <c r="A29" s="1356" t="s">
        <v>11</v>
      </c>
      <c r="B29" s="1356"/>
      <c r="C29" s="1356"/>
      <c r="D29" s="1356"/>
      <c r="E29" s="134"/>
      <c r="F29" s="134"/>
      <c r="G29" s="1356" t="s">
        <v>21</v>
      </c>
      <c r="H29" s="1356"/>
      <c r="I29" s="1356"/>
      <c r="J29" s="1356"/>
    </row>
    <row r="33" spans="1:10" s="74" customFormat="1" ht="10.199999999999999" x14ac:dyDescent="0.25">
      <c r="A33" s="1355" t="s">
        <v>1000</v>
      </c>
      <c r="B33" s="1355"/>
      <c r="C33" s="1355"/>
      <c r="D33" s="1355"/>
      <c r="G33" s="1355" t="s">
        <v>192</v>
      </c>
      <c r="H33" s="1355"/>
      <c r="I33" s="1355"/>
      <c r="J33" s="1355"/>
    </row>
  </sheetData>
  <mergeCells count="29">
    <mergeCell ref="B26:E26"/>
    <mergeCell ref="A10:A11"/>
    <mergeCell ref="G26:H26"/>
    <mergeCell ref="G28:J28"/>
    <mergeCell ref="G29:J29"/>
    <mergeCell ref="B12:F12"/>
    <mergeCell ref="G33:J33"/>
    <mergeCell ref="A3:J3"/>
    <mergeCell ref="A1:J1"/>
    <mergeCell ref="A33:D33"/>
    <mergeCell ref="A2:J2"/>
    <mergeCell ref="C21:D21"/>
    <mergeCell ref="D7:J7"/>
    <mergeCell ref="D9:J9"/>
    <mergeCell ref="D8:J8"/>
    <mergeCell ref="B10:F11"/>
    <mergeCell ref="A29:D29"/>
    <mergeCell ref="G11:H11"/>
    <mergeCell ref="C15:D15"/>
    <mergeCell ref="B13:F13"/>
    <mergeCell ref="B20:D20"/>
    <mergeCell ref="B14:D14"/>
    <mergeCell ref="L2:N2"/>
    <mergeCell ref="L15:S20"/>
    <mergeCell ref="M3:N3"/>
    <mergeCell ref="G10:J10"/>
    <mergeCell ref="D6:J6"/>
    <mergeCell ref="D5:J5"/>
    <mergeCell ref="G12:H12"/>
  </mergeCells>
  <pageMargins left="0.8" right="0.65" top="0.68" bottom="0.75" header="0.3" footer="0.3"/>
  <pageSetup paperSize="14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S28"/>
  <sheetViews>
    <sheetView topLeftCell="A3" zoomScale="190" zoomScaleNormal="190" workbookViewId="0">
      <selection activeCell="M3" sqref="M3:N3"/>
    </sheetView>
  </sheetViews>
  <sheetFormatPr defaultColWidth="10" defaultRowHeight="13.2" x14ac:dyDescent="0.25"/>
  <cols>
    <col min="1" max="1" width="10.44140625" style="72" bestFit="1" customWidth="1"/>
    <col min="2" max="2" width="2.77734375" style="72" bestFit="1" customWidth="1"/>
    <col min="3" max="3" width="2.77734375" style="70" bestFit="1" customWidth="1"/>
    <col min="4" max="4" width="38.6640625" style="72" bestFit="1" customWidth="1"/>
    <col min="5" max="5" width="6.44140625" style="72" bestFit="1" customWidth="1"/>
    <col min="6" max="6" width="2" style="72" bestFit="1" customWidth="1"/>
    <col min="7" max="7" width="5.44140625" style="72" bestFit="1" customWidth="1"/>
    <col min="8" max="8" width="4.44140625" style="72" bestFit="1" customWidth="1"/>
    <col min="9" max="9" width="12" style="72" bestFit="1" customWidth="1"/>
    <col min="10" max="10" width="14.33203125" style="72" bestFit="1" customWidth="1"/>
    <col min="11" max="11" width="9.33203125" style="72" bestFit="1" customWidth="1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25</v>
      </c>
      <c r="M3" s="1366">
        <f>J13</f>
        <v>2763216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135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136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2763216</v>
      </c>
    </row>
    <row r="14" spans="1:19" ht="15.15" customHeight="1" x14ac:dyDescent="0.25">
      <c r="A14" s="89" t="s">
        <v>17</v>
      </c>
      <c r="B14" s="1371" t="s">
        <v>674</v>
      </c>
      <c r="C14" s="1372"/>
      <c r="D14" s="1372"/>
      <c r="E14" s="92"/>
      <c r="F14" s="93"/>
      <c r="G14" s="94"/>
      <c r="H14" s="95"/>
      <c r="I14" s="96"/>
      <c r="J14" s="97">
        <f>J15+J18</f>
        <v>2763216</v>
      </c>
    </row>
    <row r="15" spans="1:19" ht="14.1" customHeight="1" x14ac:dyDescent="0.25">
      <c r="A15" s="99" t="s">
        <v>19</v>
      </c>
      <c r="B15" s="100"/>
      <c r="C15" s="1361" t="s">
        <v>699</v>
      </c>
      <c r="D15" s="1361"/>
      <c r="E15" s="102"/>
      <c r="F15" s="103"/>
      <c r="G15" s="104"/>
      <c r="H15" s="95"/>
      <c r="I15" s="105"/>
      <c r="J15" s="106">
        <f>SUM(J16:J17)</f>
        <v>230268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x14ac:dyDescent="0.25">
      <c r="A16" s="107"/>
      <c r="B16" s="108"/>
      <c r="C16" s="109" t="s">
        <v>123</v>
      </c>
      <c r="D16" s="137" t="s">
        <v>675</v>
      </c>
      <c r="E16" s="110" t="s">
        <v>25</v>
      </c>
      <c r="F16" s="111"/>
      <c r="G16" s="112">
        <v>12</v>
      </c>
      <c r="H16" s="113" t="s">
        <v>9</v>
      </c>
      <c r="I16" s="114">
        <v>10661</v>
      </c>
      <c r="J16" s="114">
        <f>I16*G16</f>
        <v>127932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09" t="s">
        <v>124</v>
      </c>
      <c r="D17" s="137" t="s">
        <v>676</v>
      </c>
      <c r="E17" s="110" t="s">
        <v>25</v>
      </c>
      <c r="F17" s="111"/>
      <c r="G17" s="116">
        <v>12</v>
      </c>
      <c r="H17" s="117" t="s">
        <v>9</v>
      </c>
      <c r="I17" s="118">
        <v>8528</v>
      </c>
      <c r="J17" s="118">
        <f>I17*G17</f>
        <v>102336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ht="15.75" customHeight="1" x14ac:dyDescent="0.25">
      <c r="A18" s="107"/>
      <c r="B18" s="108"/>
      <c r="C18" s="1361" t="s">
        <v>1001</v>
      </c>
      <c r="D18" s="1361"/>
      <c r="E18" s="110"/>
      <c r="F18" s="111"/>
      <c r="G18" s="116"/>
      <c r="H18" s="117"/>
      <c r="I18" s="118"/>
      <c r="J18" s="118">
        <f>SUM(J19:J20)</f>
        <v>2532948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ht="13.5" customHeight="1" x14ac:dyDescent="0.25">
      <c r="A19" s="107"/>
      <c r="B19" s="108"/>
      <c r="C19" s="109" t="s">
        <v>123</v>
      </c>
      <c r="D19" s="137" t="s">
        <v>675</v>
      </c>
      <c r="E19" s="110" t="s">
        <v>25</v>
      </c>
      <c r="F19" s="111"/>
      <c r="G19" s="112">
        <v>132</v>
      </c>
      <c r="H19" s="113" t="s">
        <v>9</v>
      </c>
      <c r="I19" s="114">
        <v>10661</v>
      </c>
      <c r="J19" s="114">
        <f>I19*G19</f>
        <v>1407252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ht="15.6" customHeight="1" x14ac:dyDescent="0.25">
      <c r="A20" s="89"/>
      <c r="B20" s="90"/>
      <c r="C20" s="109" t="s">
        <v>124</v>
      </c>
      <c r="D20" s="137" t="s">
        <v>676</v>
      </c>
      <c r="E20" s="110" t="s">
        <v>25</v>
      </c>
      <c r="F20" s="111"/>
      <c r="G20" s="116">
        <v>132</v>
      </c>
      <c r="H20" s="117" t="s">
        <v>9</v>
      </c>
      <c r="I20" s="118">
        <v>8528</v>
      </c>
      <c r="J20" s="118">
        <f>I20*G20</f>
        <v>1125696</v>
      </c>
      <c r="L20" s="1387"/>
      <c r="M20" s="1387"/>
      <c r="N20" s="1387"/>
      <c r="O20" s="1387"/>
      <c r="P20" s="1387"/>
      <c r="Q20" s="1387"/>
      <c r="R20" s="1387"/>
      <c r="S20" s="1387"/>
    </row>
    <row r="21" spans="1:19" s="79" customFormat="1" ht="20.85" customHeight="1" x14ac:dyDescent="0.25">
      <c r="A21" s="127"/>
      <c r="B21" s="1357" t="s">
        <v>15</v>
      </c>
      <c r="C21" s="1358"/>
      <c r="D21" s="1358"/>
      <c r="E21" s="1358"/>
      <c r="F21" s="80"/>
      <c r="G21" s="1357"/>
      <c r="H21" s="1362"/>
      <c r="I21" s="127"/>
      <c r="J21" s="88">
        <f>J13</f>
        <v>2763216</v>
      </c>
    </row>
    <row r="22" spans="1:19" s="79" customFormat="1" ht="9.75" customHeight="1" x14ac:dyDescent="0.25">
      <c r="A22" s="128"/>
      <c r="B22" s="128"/>
      <c r="C22" s="129"/>
      <c r="D22" s="78"/>
      <c r="E22" s="78"/>
      <c r="F22" s="78"/>
      <c r="G22" s="78"/>
      <c r="H22" s="78"/>
      <c r="I22" s="128"/>
      <c r="J22" s="130"/>
    </row>
    <row r="23" spans="1:19" s="79" customFormat="1" ht="14.25" customHeight="1" x14ac:dyDescent="0.25">
      <c r="A23" s="131"/>
      <c r="B23" s="131"/>
      <c r="C23" s="109"/>
      <c r="D23" s="132"/>
      <c r="E23" s="132"/>
      <c r="F23" s="132"/>
      <c r="G23" s="1359" t="s">
        <v>1002</v>
      </c>
      <c r="H23" s="1360"/>
      <c r="I23" s="1360"/>
      <c r="J23" s="1360"/>
    </row>
    <row r="24" spans="1:19" s="133" customFormat="1" ht="15" customHeight="1" x14ac:dyDescent="0.25">
      <c r="A24" s="1356" t="s">
        <v>11</v>
      </c>
      <c r="B24" s="1356"/>
      <c r="C24" s="1356"/>
      <c r="D24" s="1356"/>
      <c r="E24" s="134"/>
      <c r="F24" s="134"/>
      <c r="G24" s="1356" t="s">
        <v>21</v>
      </c>
      <c r="H24" s="1356"/>
      <c r="I24" s="1356"/>
      <c r="J24" s="1356"/>
    </row>
    <row r="28" spans="1:19" s="74" customFormat="1" ht="10.199999999999999" x14ac:dyDescent="0.25">
      <c r="A28" s="1355" t="s">
        <v>1000</v>
      </c>
      <c r="B28" s="1355"/>
      <c r="C28" s="1355"/>
      <c r="D28" s="1355"/>
      <c r="G28" s="1355" t="s">
        <v>192</v>
      </c>
      <c r="H28" s="1355"/>
      <c r="I28" s="1355"/>
      <c r="J28" s="1355"/>
    </row>
  </sheetData>
  <mergeCells count="28">
    <mergeCell ref="C18:D18"/>
    <mergeCell ref="D6:J6"/>
    <mergeCell ref="B13:F13"/>
    <mergeCell ref="A1:J1"/>
    <mergeCell ref="C15:D15"/>
    <mergeCell ref="D5:J5"/>
    <mergeCell ref="B14:D14"/>
    <mergeCell ref="D8:J8"/>
    <mergeCell ref="G10:J10"/>
    <mergeCell ref="G12:H12"/>
    <mergeCell ref="D7:J7"/>
    <mergeCell ref="D9:J9"/>
    <mergeCell ref="L15:S20"/>
    <mergeCell ref="G24:J24"/>
    <mergeCell ref="G28:J28"/>
    <mergeCell ref="A24:D24"/>
    <mergeCell ref="L2:N2"/>
    <mergeCell ref="B10:F11"/>
    <mergeCell ref="M3:N3"/>
    <mergeCell ref="A3:J3"/>
    <mergeCell ref="G21:H21"/>
    <mergeCell ref="A2:J2"/>
    <mergeCell ref="B21:E21"/>
    <mergeCell ref="G11:H11"/>
    <mergeCell ref="A10:A11"/>
    <mergeCell ref="A28:D28"/>
    <mergeCell ref="B12:F12"/>
    <mergeCell ref="G23:J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T89"/>
  <sheetViews>
    <sheetView topLeftCell="A65" zoomScale="200" zoomScaleNormal="200" workbookViewId="0">
      <selection activeCell="C71" sqref="C71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376" customWidth="1"/>
    <col min="11" max="11" width="9.33203125" style="72"/>
    <col min="12" max="12" width="16.77734375" style="72" bestFit="1" customWidth="1"/>
    <col min="13" max="13" width="5.6640625" style="72" customWidth="1"/>
    <col min="14" max="14" width="9.6640625" style="72" bestFit="1" customWidth="1"/>
    <col min="15" max="15" width="9.33203125" style="72"/>
    <col min="16" max="16" width="19.109375" style="72" bestFit="1" customWidth="1"/>
    <col min="17" max="16384" width="9.33203125" style="72"/>
  </cols>
  <sheetData>
    <row r="1" spans="1:16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6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6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25</v>
      </c>
      <c r="M3" s="1414">
        <f>J60+J66+J75</f>
        <v>63000000</v>
      </c>
      <c r="N3" s="1414"/>
      <c r="P3" s="199">
        <f>M3+M5</f>
        <v>119290000</v>
      </c>
    </row>
    <row r="4" spans="1:16" x14ac:dyDescent="0.25">
      <c r="A4" s="73"/>
      <c r="B4" s="73"/>
      <c r="C4" s="76"/>
      <c r="D4" s="73"/>
      <c r="E4" s="73"/>
      <c r="F4" s="73"/>
      <c r="G4" s="73"/>
      <c r="H4" s="73"/>
      <c r="I4" s="73"/>
      <c r="J4" s="364"/>
      <c r="L4" s="74" t="s">
        <v>50</v>
      </c>
      <c r="M4" s="1414">
        <f>J77+J70</f>
        <v>44800000</v>
      </c>
      <c r="N4" s="1414"/>
      <c r="P4" s="199">
        <f>P3+M4</f>
        <v>164090000</v>
      </c>
    </row>
    <row r="5" spans="1:16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  <c r="L5" s="74" t="s">
        <v>529</v>
      </c>
      <c r="M5" s="1414">
        <f>J15+J51+J57</f>
        <v>56290000</v>
      </c>
      <c r="N5" s="1414"/>
    </row>
    <row r="6" spans="1:16" ht="13.5" customHeight="1" x14ac:dyDescent="0.25">
      <c r="A6" s="77" t="s">
        <v>3</v>
      </c>
      <c r="B6" s="77"/>
      <c r="C6" s="76" t="s">
        <v>137</v>
      </c>
      <c r="D6" s="1382" t="s">
        <v>367</v>
      </c>
      <c r="E6" s="1382"/>
      <c r="F6" s="1382"/>
      <c r="G6" s="1382"/>
      <c r="H6" s="1382"/>
      <c r="I6" s="1382"/>
      <c r="J6" s="1382"/>
    </row>
    <row r="7" spans="1:16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  <c r="N7" s="72">
        <f>M3+M5+M4</f>
        <v>164090000</v>
      </c>
    </row>
    <row r="8" spans="1:16" ht="11.25" customHeight="1" x14ac:dyDescent="0.25">
      <c r="A8" s="77" t="s">
        <v>6</v>
      </c>
      <c r="B8" s="77"/>
      <c r="C8" s="76" t="s">
        <v>137</v>
      </c>
      <c r="D8" s="1382" t="s">
        <v>368</v>
      </c>
      <c r="E8" s="1382"/>
      <c r="F8" s="1382"/>
      <c r="G8" s="1382"/>
      <c r="H8" s="1382"/>
      <c r="I8" s="1382"/>
      <c r="J8" s="1382"/>
      <c r="M8" s="199"/>
    </row>
    <row r="9" spans="1:16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6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6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365" t="s">
        <v>15</v>
      </c>
    </row>
    <row r="12" spans="1:16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366">
        <v>5</v>
      </c>
    </row>
    <row r="13" spans="1:16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367">
        <f>J14+J57+J60+J66+J74+J70</f>
        <v>164090000</v>
      </c>
    </row>
    <row r="14" spans="1:16" ht="15.15" customHeight="1" x14ac:dyDescent="0.25">
      <c r="A14" s="89" t="s">
        <v>208</v>
      </c>
      <c r="B14" s="1371" t="s">
        <v>176</v>
      </c>
      <c r="C14" s="1372"/>
      <c r="D14" s="1372"/>
      <c r="E14" s="92"/>
      <c r="F14" s="93"/>
      <c r="G14" s="94"/>
      <c r="H14" s="95"/>
      <c r="I14" s="96"/>
      <c r="J14" s="368">
        <f>J15+J52</f>
        <v>41290000</v>
      </c>
    </row>
    <row r="15" spans="1:16" ht="14.1" customHeight="1" x14ac:dyDescent="0.25">
      <c r="A15" s="99" t="s">
        <v>19</v>
      </c>
      <c r="B15" s="100"/>
      <c r="C15" s="1361" t="s">
        <v>209</v>
      </c>
      <c r="D15" s="1361"/>
      <c r="E15" s="102"/>
      <c r="F15" s="103"/>
      <c r="G15" s="104"/>
      <c r="H15" s="95"/>
      <c r="I15" s="105"/>
      <c r="J15" s="369">
        <f>SUM(J16:J50)</f>
        <v>30790000</v>
      </c>
    </row>
    <row r="16" spans="1:16" ht="13.5" customHeight="1" x14ac:dyDescent="0.25">
      <c r="A16" s="107"/>
      <c r="B16" s="108"/>
      <c r="C16" s="109" t="s">
        <v>123</v>
      </c>
      <c r="D16" s="102" t="s">
        <v>468</v>
      </c>
      <c r="E16" s="110" t="s">
        <v>25</v>
      </c>
      <c r="F16" s="111"/>
      <c r="G16" s="112">
        <v>50</v>
      </c>
      <c r="H16" s="113" t="s">
        <v>500</v>
      </c>
      <c r="I16" s="114">
        <v>65000</v>
      </c>
      <c r="J16" s="370">
        <f>I16*G16</f>
        <v>3250000</v>
      </c>
    </row>
    <row r="17" spans="1:10" ht="13.5" customHeight="1" x14ac:dyDescent="0.25">
      <c r="A17" s="107"/>
      <c r="B17" s="108"/>
      <c r="C17" s="109" t="s">
        <v>124</v>
      </c>
      <c r="D17" s="102" t="s">
        <v>469</v>
      </c>
      <c r="E17" s="110" t="s">
        <v>25</v>
      </c>
      <c r="F17" s="111"/>
      <c r="G17" s="116">
        <v>100</v>
      </c>
      <c r="H17" s="117" t="s">
        <v>500</v>
      </c>
      <c r="I17" s="118">
        <v>75000</v>
      </c>
      <c r="J17" s="371">
        <f>I17*G17</f>
        <v>7500000</v>
      </c>
    </row>
    <row r="18" spans="1:10" ht="13.5" customHeight="1" x14ac:dyDescent="0.25">
      <c r="A18" s="107"/>
      <c r="B18" s="108"/>
      <c r="C18" s="109" t="s">
        <v>125</v>
      </c>
      <c r="D18" s="102" t="s">
        <v>470</v>
      </c>
      <c r="E18" s="110" t="s">
        <v>25</v>
      </c>
      <c r="F18" s="111"/>
      <c r="G18" s="116">
        <v>10</v>
      </c>
      <c r="H18" s="117" t="s">
        <v>235</v>
      </c>
      <c r="I18" s="118">
        <v>500000</v>
      </c>
      <c r="J18" s="371">
        <f t="shared" ref="J18:J50" si="0">I18*G18</f>
        <v>5000000</v>
      </c>
    </row>
    <row r="19" spans="1:10" ht="13.5" customHeight="1" x14ac:dyDescent="0.25">
      <c r="A19" s="107"/>
      <c r="B19" s="108"/>
      <c r="C19" s="109" t="s">
        <v>126</v>
      </c>
      <c r="D19" s="102" t="s">
        <v>471</v>
      </c>
      <c r="E19" s="110" t="s">
        <v>25</v>
      </c>
      <c r="F19" s="111"/>
      <c r="G19" s="116">
        <v>25</v>
      </c>
      <c r="H19" s="117" t="s">
        <v>501</v>
      </c>
      <c r="I19" s="118">
        <v>25000</v>
      </c>
      <c r="J19" s="371">
        <f t="shared" si="0"/>
        <v>625000</v>
      </c>
    </row>
    <row r="20" spans="1:10" ht="13.5" customHeight="1" x14ac:dyDescent="0.25">
      <c r="A20" s="107"/>
      <c r="B20" s="108"/>
      <c r="C20" s="109" t="s">
        <v>127</v>
      </c>
      <c r="D20" s="102" t="s">
        <v>472</v>
      </c>
      <c r="E20" s="110" t="s">
        <v>25</v>
      </c>
      <c r="F20" s="111"/>
      <c r="G20" s="116">
        <v>15</v>
      </c>
      <c r="H20" s="117" t="s">
        <v>501</v>
      </c>
      <c r="I20" s="118">
        <v>35000</v>
      </c>
      <c r="J20" s="371">
        <f t="shared" si="0"/>
        <v>525000</v>
      </c>
    </row>
    <row r="21" spans="1:10" ht="13.5" customHeight="1" x14ac:dyDescent="0.25">
      <c r="A21" s="107"/>
      <c r="B21" s="108"/>
      <c r="C21" s="109" t="s">
        <v>128</v>
      </c>
      <c r="D21" s="102" t="s">
        <v>496</v>
      </c>
      <c r="E21" s="110" t="s">
        <v>25</v>
      </c>
      <c r="F21" s="111"/>
      <c r="G21" s="116">
        <v>250</v>
      </c>
      <c r="H21" s="117" t="s">
        <v>318</v>
      </c>
      <c r="I21" s="118">
        <v>10000</v>
      </c>
      <c r="J21" s="371">
        <f t="shared" si="0"/>
        <v>2500000</v>
      </c>
    </row>
    <row r="22" spans="1:10" ht="13.5" customHeight="1" x14ac:dyDescent="0.25">
      <c r="A22" s="107"/>
      <c r="B22" s="108"/>
      <c r="C22" s="109" t="s">
        <v>270</v>
      </c>
      <c r="D22" s="102" t="s">
        <v>473</v>
      </c>
      <c r="E22" s="110" t="s">
        <v>25</v>
      </c>
      <c r="F22" s="111"/>
      <c r="G22" s="116">
        <v>30</v>
      </c>
      <c r="H22" s="117" t="s">
        <v>501</v>
      </c>
      <c r="I22" s="118">
        <v>35000</v>
      </c>
      <c r="J22" s="371">
        <f t="shared" si="0"/>
        <v>1050000</v>
      </c>
    </row>
    <row r="23" spans="1:10" ht="13.5" customHeight="1" x14ac:dyDescent="0.25">
      <c r="A23" s="107"/>
      <c r="B23" s="108"/>
      <c r="C23" s="109" t="s">
        <v>283</v>
      </c>
      <c r="D23" s="102" t="s">
        <v>474</v>
      </c>
      <c r="E23" s="110" t="s">
        <v>25</v>
      </c>
      <c r="F23" s="111"/>
      <c r="G23" s="116">
        <v>1</v>
      </c>
      <c r="H23" s="117" t="s">
        <v>501</v>
      </c>
      <c r="I23" s="118">
        <v>95000</v>
      </c>
      <c r="J23" s="371">
        <f t="shared" si="0"/>
        <v>95000</v>
      </c>
    </row>
    <row r="24" spans="1:10" ht="13.5" customHeight="1" x14ac:dyDescent="0.25">
      <c r="A24" s="107"/>
      <c r="B24" s="108"/>
      <c r="C24" s="109" t="s">
        <v>284</v>
      </c>
      <c r="D24" s="102" t="s">
        <v>475</v>
      </c>
      <c r="E24" s="110" t="s">
        <v>25</v>
      </c>
      <c r="F24" s="111"/>
      <c r="G24" s="116">
        <v>5</v>
      </c>
      <c r="H24" s="117" t="s">
        <v>318</v>
      </c>
      <c r="I24" s="118">
        <v>35000</v>
      </c>
      <c r="J24" s="371">
        <f t="shared" si="0"/>
        <v>175000</v>
      </c>
    </row>
    <row r="25" spans="1:10" ht="13.5" customHeight="1" x14ac:dyDescent="0.25">
      <c r="A25" s="107"/>
      <c r="B25" s="108"/>
      <c r="C25" s="109" t="s">
        <v>285</v>
      </c>
      <c r="D25" s="102" t="s">
        <v>476</v>
      </c>
      <c r="E25" s="110" t="s">
        <v>25</v>
      </c>
      <c r="F25" s="111"/>
      <c r="G25" s="116">
        <v>5</v>
      </c>
      <c r="H25" s="117" t="s">
        <v>318</v>
      </c>
      <c r="I25" s="118">
        <v>15000</v>
      </c>
      <c r="J25" s="371">
        <f t="shared" si="0"/>
        <v>75000</v>
      </c>
    </row>
    <row r="26" spans="1:10" ht="13.5" customHeight="1" x14ac:dyDescent="0.25">
      <c r="A26" s="107"/>
      <c r="B26" s="108"/>
      <c r="C26" s="109" t="s">
        <v>286</v>
      </c>
      <c r="D26" s="102" t="s">
        <v>477</v>
      </c>
      <c r="E26" s="110" t="s">
        <v>25</v>
      </c>
      <c r="F26" s="111"/>
      <c r="G26" s="116">
        <v>20</v>
      </c>
      <c r="H26" s="117" t="s">
        <v>318</v>
      </c>
      <c r="I26" s="118">
        <v>25000</v>
      </c>
      <c r="J26" s="371">
        <f t="shared" si="0"/>
        <v>500000</v>
      </c>
    </row>
    <row r="27" spans="1:10" ht="13.5" customHeight="1" x14ac:dyDescent="0.25">
      <c r="A27" s="107"/>
      <c r="B27" s="108"/>
      <c r="C27" s="109" t="s">
        <v>287</v>
      </c>
      <c r="D27" s="102" t="s">
        <v>478</v>
      </c>
      <c r="E27" s="110" t="s">
        <v>25</v>
      </c>
      <c r="F27" s="111"/>
      <c r="G27" s="116">
        <v>10</v>
      </c>
      <c r="H27" s="117" t="s">
        <v>502</v>
      </c>
      <c r="I27" s="118">
        <v>35000</v>
      </c>
      <c r="J27" s="371">
        <f t="shared" si="0"/>
        <v>350000</v>
      </c>
    </row>
    <row r="28" spans="1:10" ht="13.5" customHeight="1" x14ac:dyDescent="0.25">
      <c r="A28" s="107"/>
      <c r="B28" s="108"/>
      <c r="C28" s="109" t="s">
        <v>288</v>
      </c>
      <c r="D28" s="102" t="s">
        <v>479</v>
      </c>
      <c r="E28" s="110" t="s">
        <v>25</v>
      </c>
      <c r="F28" s="111"/>
      <c r="G28" s="116">
        <v>50</v>
      </c>
      <c r="H28" s="117" t="s">
        <v>318</v>
      </c>
      <c r="I28" s="118">
        <v>15000</v>
      </c>
      <c r="J28" s="371">
        <f t="shared" si="0"/>
        <v>750000</v>
      </c>
    </row>
    <row r="29" spans="1:10" ht="13.5" customHeight="1" x14ac:dyDescent="0.25">
      <c r="A29" s="107"/>
      <c r="B29" s="108"/>
      <c r="C29" s="109" t="s">
        <v>289</v>
      </c>
      <c r="D29" s="102" t="s">
        <v>480</v>
      </c>
      <c r="E29" s="110" t="s">
        <v>25</v>
      </c>
      <c r="F29" s="111"/>
      <c r="G29" s="116">
        <v>10</v>
      </c>
      <c r="H29" s="117" t="s">
        <v>502</v>
      </c>
      <c r="I29" s="118">
        <v>25000</v>
      </c>
      <c r="J29" s="371">
        <f t="shared" si="0"/>
        <v>250000</v>
      </c>
    </row>
    <row r="30" spans="1:10" ht="13.5" customHeight="1" x14ac:dyDescent="0.25">
      <c r="A30" s="107"/>
      <c r="B30" s="108"/>
      <c r="C30" s="109" t="s">
        <v>290</v>
      </c>
      <c r="D30" s="102" t="s">
        <v>481</v>
      </c>
      <c r="E30" s="110" t="s">
        <v>25</v>
      </c>
      <c r="F30" s="111"/>
      <c r="G30" s="116">
        <v>30</v>
      </c>
      <c r="H30" s="117" t="s">
        <v>502</v>
      </c>
      <c r="I30" s="118">
        <v>25000</v>
      </c>
      <c r="J30" s="371">
        <f t="shared" si="0"/>
        <v>750000</v>
      </c>
    </row>
    <row r="31" spans="1:10" ht="13.5" customHeight="1" x14ac:dyDescent="0.25">
      <c r="A31" s="107"/>
      <c r="B31" s="108"/>
      <c r="C31" s="109" t="s">
        <v>291</v>
      </c>
      <c r="D31" s="102" t="s">
        <v>482</v>
      </c>
      <c r="E31" s="110" t="s">
        <v>25</v>
      </c>
      <c r="F31" s="111"/>
      <c r="G31" s="116">
        <v>10</v>
      </c>
      <c r="H31" s="117" t="s">
        <v>318</v>
      </c>
      <c r="I31" s="118">
        <v>10000</v>
      </c>
      <c r="J31" s="371">
        <f t="shared" si="0"/>
        <v>100000</v>
      </c>
    </row>
    <row r="32" spans="1:10" ht="13.5" customHeight="1" x14ac:dyDescent="0.25">
      <c r="A32" s="107"/>
      <c r="B32" s="108"/>
      <c r="C32" s="109" t="s">
        <v>292</v>
      </c>
      <c r="D32" s="102" t="s">
        <v>483</v>
      </c>
      <c r="E32" s="110" t="s">
        <v>25</v>
      </c>
      <c r="F32" s="111"/>
      <c r="G32" s="116">
        <v>20</v>
      </c>
      <c r="H32" s="117" t="s">
        <v>318</v>
      </c>
      <c r="I32" s="118">
        <v>15000</v>
      </c>
      <c r="J32" s="371">
        <f t="shared" si="0"/>
        <v>300000</v>
      </c>
    </row>
    <row r="33" spans="1:10" ht="13.5" customHeight="1" x14ac:dyDescent="0.25">
      <c r="A33" s="107"/>
      <c r="B33" s="108"/>
      <c r="C33" s="109" t="s">
        <v>293</v>
      </c>
      <c r="D33" s="102" t="s">
        <v>484</v>
      </c>
      <c r="E33" s="110" t="s">
        <v>25</v>
      </c>
      <c r="F33" s="111"/>
      <c r="G33" s="116">
        <v>10</v>
      </c>
      <c r="H33" s="117" t="s">
        <v>318</v>
      </c>
      <c r="I33" s="118">
        <v>15000</v>
      </c>
      <c r="J33" s="371">
        <f t="shared" si="0"/>
        <v>150000</v>
      </c>
    </row>
    <row r="34" spans="1:10" ht="13.5" customHeight="1" x14ac:dyDescent="0.25">
      <c r="A34" s="107"/>
      <c r="B34" s="108"/>
      <c r="C34" s="109" t="s">
        <v>294</v>
      </c>
      <c r="D34" s="102" t="s">
        <v>485</v>
      </c>
      <c r="E34" s="110" t="s">
        <v>25</v>
      </c>
      <c r="F34" s="111"/>
      <c r="G34" s="116">
        <v>20</v>
      </c>
      <c r="H34" s="117" t="s">
        <v>318</v>
      </c>
      <c r="I34" s="118">
        <v>10000</v>
      </c>
      <c r="J34" s="371">
        <f t="shared" si="0"/>
        <v>200000</v>
      </c>
    </row>
    <row r="35" spans="1:10" ht="13.5" customHeight="1" x14ac:dyDescent="0.25">
      <c r="A35" s="107"/>
      <c r="B35" s="108"/>
      <c r="C35" s="109" t="s">
        <v>295</v>
      </c>
      <c r="D35" s="102" t="s">
        <v>487</v>
      </c>
      <c r="E35" s="110" t="s">
        <v>25</v>
      </c>
      <c r="F35" s="111"/>
      <c r="G35" s="116">
        <v>10</v>
      </c>
      <c r="H35" s="117" t="s">
        <v>1052</v>
      </c>
      <c r="I35" s="118">
        <v>20000</v>
      </c>
      <c r="J35" s="371">
        <f t="shared" si="0"/>
        <v>200000</v>
      </c>
    </row>
    <row r="36" spans="1:10" ht="13.5" customHeight="1" x14ac:dyDescent="0.25">
      <c r="A36" s="107"/>
      <c r="B36" s="108"/>
      <c r="C36" s="109" t="s">
        <v>296</v>
      </c>
      <c r="D36" s="102" t="s">
        <v>486</v>
      </c>
      <c r="E36" s="110" t="s">
        <v>25</v>
      </c>
      <c r="F36" s="111"/>
      <c r="G36" s="116">
        <v>10</v>
      </c>
      <c r="H36" s="117" t="s">
        <v>1052</v>
      </c>
      <c r="I36" s="118">
        <v>25000</v>
      </c>
      <c r="J36" s="371">
        <f t="shared" si="0"/>
        <v>250000</v>
      </c>
    </row>
    <row r="37" spans="1:10" ht="13.5" customHeight="1" x14ac:dyDescent="0.25">
      <c r="A37" s="107"/>
      <c r="B37" s="108"/>
      <c r="C37" s="109" t="s">
        <v>297</v>
      </c>
      <c r="D37" s="102" t="s">
        <v>488</v>
      </c>
      <c r="E37" s="110" t="s">
        <v>25</v>
      </c>
      <c r="F37" s="111"/>
      <c r="G37" s="116">
        <v>10</v>
      </c>
      <c r="H37" s="117" t="s">
        <v>1052</v>
      </c>
      <c r="I37" s="118">
        <v>25000</v>
      </c>
      <c r="J37" s="371">
        <f t="shared" si="0"/>
        <v>250000</v>
      </c>
    </row>
    <row r="38" spans="1:10" ht="13.5" customHeight="1" x14ac:dyDescent="0.25">
      <c r="A38" s="107"/>
      <c r="B38" s="108"/>
      <c r="C38" s="109" t="s">
        <v>298</v>
      </c>
      <c r="D38" s="102" t="s">
        <v>489</v>
      </c>
      <c r="E38" s="110" t="s">
        <v>25</v>
      </c>
      <c r="F38" s="111"/>
      <c r="G38" s="116">
        <v>2</v>
      </c>
      <c r="H38" s="117" t="s">
        <v>501</v>
      </c>
      <c r="I38" s="118">
        <v>20000</v>
      </c>
      <c r="J38" s="371">
        <f t="shared" si="0"/>
        <v>40000</v>
      </c>
    </row>
    <row r="39" spans="1:10" ht="13.5" customHeight="1" x14ac:dyDescent="0.25">
      <c r="A39" s="107"/>
      <c r="B39" s="108"/>
      <c r="C39" s="109" t="s">
        <v>299</v>
      </c>
      <c r="D39" s="102" t="s">
        <v>490</v>
      </c>
      <c r="E39" s="110" t="s">
        <v>25</v>
      </c>
      <c r="F39" s="111"/>
      <c r="G39" s="116">
        <v>20</v>
      </c>
      <c r="H39" s="117" t="s">
        <v>318</v>
      </c>
      <c r="I39" s="118">
        <v>30000</v>
      </c>
      <c r="J39" s="371">
        <f t="shared" si="0"/>
        <v>600000</v>
      </c>
    </row>
    <row r="40" spans="1:10" ht="13.5" customHeight="1" x14ac:dyDescent="0.25">
      <c r="A40" s="107"/>
      <c r="B40" s="108"/>
      <c r="C40" s="109" t="s">
        <v>300</v>
      </c>
      <c r="D40" s="102" t="s">
        <v>504</v>
      </c>
      <c r="E40" s="110" t="s">
        <v>25</v>
      </c>
      <c r="F40" s="111"/>
      <c r="G40" s="116">
        <v>50</v>
      </c>
      <c r="H40" s="117" t="s">
        <v>318</v>
      </c>
      <c r="I40" s="118">
        <v>1500</v>
      </c>
      <c r="J40" s="371">
        <f t="shared" si="0"/>
        <v>75000</v>
      </c>
    </row>
    <row r="41" spans="1:10" ht="13.5" customHeight="1" x14ac:dyDescent="0.25">
      <c r="A41" s="107"/>
      <c r="B41" s="108"/>
      <c r="C41" s="109" t="s">
        <v>301</v>
      </c>
      <c r="D41" s="102" t="s">
        <v>491</v>
      </c>
      <c r="E41" s="110" t="s">
        <v>25</v>
      </c>
      <c r="F41" s="111"/>
      <c r="G41" s="116">
        <v>50</v>
      </c>
      <c r="H41" s="117" t="s">
        <v>318</v>
      </c>
      <c r="I41" s="118">
        <v>20000</v>
      </c>
      <c r="J41" s="371">
        <f t="shared" si="0"/>
        <v>1000000</v>
      </c>
    </row>
    <row r="42" spans="1:10" ht="13.5" customHeight="1" x14ac:dyDescent="0.25">
      <c r="A42" s="107"/>
      <c r="B42" s="108"/>
      <c r="C42" s="109" t="s">
        <v>302</v>
      </c>
      <c r="D42" s="102" t="s">
        <v>492</v>
      </c>
      <c r="E42" s="110" t="s">
        <v>25</v>
      </c>
      <c r="F42" s="111"/>
      <c r="G42" s="116">
        <v>30</v>
      </c>
      <c r="H42" s="117" t="s">
        <v>318</v>
      </c>
      <c r="I42" s="118">
        <v>15000</v>
      </c>
      <c r="J42" s="371">
        <f t="shared" si="0"/>
        <v>450000</v>
      </c>
    </row>
    <row r="43" spans="1:10" ht="13.5" customHeight="1" x14ac:dyDescent="0.25">
      <c r="A43" s="107"/>
      <c r="B43" s="108"/>
      <c r="C43" s="109" t="s">
        <v>303</v>
      </c>
      <c r="D43" s="102" t="s">
        <v>493</v>
      </c>
      <c r="E43" s="110" t="s">
        <v>25</v>
      </c>
      <c r="F43" s="111"/>
      <c r="G43" s="116">
        <v>1</v>
      </c>
      <c r="H43" s="117" t="s">
        <v>318</v>
      </c>
      <c r="I43" s="118">
        <v>200000</v>
      </c>
      <c r="J43" s="371">
        <f t="shared" si="0"/>
        <v>200000</v>
      </c>
    </row>
    <row r="44" spans="1:10" ht="13.5" customHeight="1" x14ac:dyDescent="0.25">
      <c r="A44" s="107"/>
      <c r="B44" s="108"/>
      <c r="C44" s="109" t="s">
        <v>304</v>
      </c>
      <c r="D44" s="102" t="s">
        <v>505</v>
      </c>
      <c r="E44" s="110" t="s">
        <v>25</v>
      </c>
      <c r="F44" s="111"/>
      <c r="G44" s="116">
        <v>1</v>
      </c>
      <c r="H44" s="117" t="s">
        <v>318</v>
      </c>
      <c r="I44" s="118">
        <v>2000000</v>
      </c>
      <c r="J44" s="371">
        <f t="shared" si="0"/>
        <v>2000000</v>
      </c>
    </row>
    <row r="45" spans="1:10" ht="13.5" customHeight="1" x14ac:dyDescent="0.25">
      <c r="A45" s="107"/>
      <c r="B45" s="108"/>
      <c r="C45" s="109" t="s">
        <v>305</v>
      </c>
      <c r="D45" s="102" t="s">
        <v>494</v>
      </c>
      <c r="E45" s="110" t="s">
        <v>25</v>
      </c>
      <c r="F45" s="111"/>
      <c r="G45" s="116">
        <v>10</v>
      </c>
      <c r="H45" s="117" t="s">
        <v>503</v>
      </c>
      <c r="I45" s="118">
        <v>10000</v>
      </c>
      <c r="J45" s="371">
        <f t="shared" si="0"/>
        <v>100000</v>
      </c>
    </row>
    <row r="46" spans="1:10" ht="13.5" customHeight="1" x14ac:dyDescent="0.25">
      <c r="A46" s="107"/>
      <c r="B46" s="108"/>
      <c r="C46" s="109" t="s">
        <v>306</v>
      </c>
      <c r="D46" s="102" t="s">
        <v>495</v>
      </c>
      <c r="E46" s="110" t="s">
        <v>25</v>
      </c>
      <c r="F46" s="111"/>
      <c r="G46" s="116">
        <v>20</v>
      </c>
      <c r="H46" s="117" t="s">
        <v>318</v>
      </c>
      <c r="I46" s="118">
        <v>30000</v>
      </c>
      <c r="J46" s="371">
        <f t="shared" si="0"/>
        <v>600000</v>
      </c>
    </row>
    <row r="47" spans="1:10" ht="13.5" customHeight="1" x14ac:dyDescent="0.25">
      <c r="A47" s="107"/>
      <c r="B47" s="108"/>
      <c r="C47" s="109" t="s">
        <v>307</v>
      </c>
      <c r="D47" s="102" t="s">
        <v>497</v>
      </c>
      <c r="E47" s="110" t="s">
        <v>25</v>
      </c>
      <c r="F47" s="111"/>
      <c r="G47" s="116">
        <v>1</v>
      </c>
      <c r="H47" s="117" t="s">
        <v>502</v>
      </c>
      <c r="I47" s="118">
        <v>20000</v>
      </c>
      <c r="J47" s="371">
        <f t="shared" si="0"/>
        <v>20000</v>
      </c>
    </row>
    <row r="48" spans="1:10" ht="13.5" customHeight="1" x14ac:dyDescent="0.25">
      <c r="A48" s="107"/>
      <c r="B48" s="108"/>
      <c r="C48" s="109" t="s">
        <v>308</v>
      </c>
      <c r="D48" s="102" t="s">
        <v>498</v>
      </c>
      <c r="E48" s="110" t="s">
        <v>25</v>
      </c>
      <c r="F48" s="111"/>
      <c r="G48" s="116">
        <v>4</v>
      </c>
      <c r="H48" s="117" t="s">
        <v>318</v>
      </c>
      <c r="I48" s="118">
        <v>15000</v>
      </c>
      <c r="J48" s="371">
        <f t="shared" si="0"/>
        <v>60000</v>
      </c>
    </row>
    <row r="49" spans="1:19" ht="13.5" customHeight="1" x14ac:dyDescent="0.25">
      <c r="A49" s="107"/>
      <c r="B49" s="108"/>
      <c r="C49" s="109" t="s">
        <v>309</v>
      </c>
      <c r="D49" s="102" t="s">
        <v>499</v>
      </c>
      <c r="E49" s="110" t="s">
        <v>25</v>
      </c>
      <c r="F49" s="111"/>
      <c r="G49" s="116">
        <v>20</v>
      </c>
      <c r="H49" s="117" t="s">
        <v>318</v>
      </c>
      <c r="I49" s="118">
        <v>30000</v>
      </c>
      <c r="J49" s="371">
        <f t="shared" si="0"/>
        <v>600000</v>
      </c>
    </row>
    <row r="50" spans="1:19" ht="13.5" customHeight="1" x14ac:dyDescent="0.25">
      <c r="A50" s="107"/>
      <c r="B50" s="200"/>
      <c r="C50" s="109" t="s">
        <v>310</v>
      </c>
      <c r="D50" s="201" t="s">
        <v>506</v>
      </c>
      <c r="E50" s="202" t="s">
        <v>25</v>
      </c>
      <c r="F50" s="203"/>
      <c r="G50" s="182">
        <v>10</v>
      </c>
      <c r="H50" s="204" t="s">
        <v>318</v>
      </c>
      <c r="I50" s="205">
        <v>20000</v>
      </c>
      <c r="J50" s="372">
        <f t="shared" si="0"/>
        <v>200000</v>
      </c>
    </row>
    <row r="51" spans="1:19" ht="13.5" customHeight="1" x14ac:dyDescent="0.25">
      <c r="A51" s="107"/>
      <c r="B51" s="1415" t="s">
        <v>527</v>
      </c>
      <c r="C51" s="1416"/>
      <c r="D51" s="1416"/>
      <c r="E51" s="110"/>
      <c r="F51" s="111"/>
      <c r="G51" s="116"/>
      <c r="H51" s="117"/>
      <c r="I51" s="118"/>
      <c r="J51" s="368">
        <f>J52</f>
        <v>10500000</v>
      </c>
    </row>
    <row r="52" spans="1:19" ht="13.5" customHeight="1" x14ac:dyDescent="0.25">
      <c r="A52" s="99" t="s">
        <v>19</v>
      </c>
      <c r="B52" s="108"/>
      <c r="C52" s="1361" t="s">
        <v>357</v>
      </c>
      <c r="D52" s="1361"/>
      <c r="E52" s="110"/>
      <c r="F52" s="111"/>
      <c r="G52" s="182"/>
      <c r="H52" s="204"/>
      <c r="I52" s="205"/>
      <c r="J52" s="372">
        <f>SUM(J53:J56)</f>
        <v>10500000</v>
      </c>
    </row>
    <row r="53" spans="1:19" ht="13.5" customHeight="1" x14ac:dyDescent="0.25">
      <c r="A53" s="99"/>
      <c r="B53" s="108"/>
      <c r="C53" s="206" t="s">
        <v>123</v>
      </c>
      <c r="D53" s="101" t="s">
        <v>417</v>
      </c>
      <c r="E53" s="110" t="s">
        <v>25</v>
      </c>
      <c r="F53" s="111"/>
      <c r="G53" s="207">
        <v>15</v>
      </c>
      <c r="H53" s="208" t="s">
        <v>318</v>
      </c>
      <c r="I53" s="209">
        <v>100000</v>
      </c>
      <c r="J53" s="373">
        <f>I53*G53</f>
        <v>1500000</v>
      </c>
      <c r="L53" s="210">
        <f>J82-J74</f>
        <v>136090000</v>
      </c>
    </row>
    <row r="54" spans="1:19" ht="13.5" customHeight="1" x14ac:dyDescent="0.25">
      <c r="A54" s="99"/>
      <c r="B54" s="108"/>
      <c r="C54" s="206" t="s">
        <v>124</v>
      </c>
      <c r="D54" s="101" t="s">
        <v>418</v>
      </c>
      <c r="E54" s="110" t="s">
        <v>25</v>
      </c>
      <c r="F54" s="111"/>
      <c r="G54" s="116">
        <v>15</v>
      </c>
      <c r="H54" s="117" t="s">
        <v>318</v>
      </c>
      <c r="I54" s="118">
        <v>100000</v>
      </c>
      <c r="J54" s="371">
        <f>I54*G54</f>
        <v>1500000</v>
      </c>
    </row>
    <row r="55" spans="1:19" ht="13.5" customHeight="1" x14ac:dyDescent="0.25">
      <c r="A55" s="99"/>
      <c r="B55" s="108"/>
      <c r="C55" s="206" t="s">
        <v>125</v>
      </c>
      <c r="D55" s="101" t="s">
        <v>419</v>
      </c>
      <c r="E55" s="110" t="s">
        <v>25</v>
      </c>
      <c r="F55" s="111"/>
      <c r="G55" s="116">
        <v>15</v>
      </c>
      <c r="H55" s="117" t="s">
        <v>318</v>
      </c>
      <c r="I55" s="118">
        <v>300000</v>
      </c>
      <c r="J55" s="371">
        <f>I55*G55</f>
        <v>4500000</v>
      </c>
    </row>
    <row r="56" spans="1:19" ht="13.5" customHeight="1" x14ac:dyDescent="0.25">
      <c r="A56" s="99"/>
      <c r="B56" s="200"/>
      <c r="C56" s="211" t="s">
        <v>126</v>
      </c>
      <c r="D56" s="212" t="s">
        <v>894</v>
      </c>
      <c r="E56" s="202" t="s">
        <v>25</v>
      </c>
      <c r="F56" s="203"/>
      <c r="G56" s="182">
        <v>15</v>
      </c>
      <c r="H56" s="204" t="s">
        <v>318</v>
      </c>
      <c r="I56" s="205">
        <v>200000</v>
      </c>
      <c r="J56" s="372">
        <f>I56*G56</f>
        <v>3000000</v>
      </c>
    </row>
    <row r="57" spans="1:19" ht="15.6" customHeight="1" x14ac:dyDescent="0.25">
      <c r="A57" s="89" t="s">
        <v>208</v>
      </c>
      <c r="B57" s="1371" t="s">
        <v>207</v>
      </c>
      <c r="C57" s="1372"/>
      <c r="D57" s="1372"/>
      <c r="E57" s="177"/>
      <c r="F57" s="178"/>
      <c r="G57" s="179"/>
      <c r="H57" s="180"/>
      <c r="I57" s="107"/>
      <c r="J57" s="368">
        <f>J58</f>
        <v>15000000</v>
      </c>
    </row>
    <row r="58" spans="1:19" ht="14.1" customHeight="1" x14ac:dyDescent="0.25">
      <c r="A58" s="99" t="s">
        <v>203</v>
      </c>
      <c r="B58" s="100"/>
      <c r="C58" s="1361" t="s">
        <v>210</v>
      </c>
      <c r="D58" s="1361"/>
      <c r="E58" s="110"/>
      <c r="F58" s="111"/>
      <c r="G58" s="125"/>
      <c r="H58" s="198"/>
      <c r="I58" s="119"/>
      <c r="J58" s="369">
        <f>SUM(J59:J59)</f>
        <v>15000000</v>
      </c>
    </row>
    <row r="59" spans="1:19" ht="14.1" customHeight="1" x14ac:dyDescent="0.25">
      <c r="A59" s="99"/>
      <c r="B59" s="100"/>
      <c r="C59" s="109" t="s">
        <v>123</v>
      </c>
      <c r="D59" s="102" t="s">
        <v>671</v>
      </c>
      <c r="E59" s="110" t="s">
        <v>25</v>
      </c>
      <c r="F59" s="111"/>
      <c r="G59" s="116">
        <v>600</v>
      </c>
      <c r="H59" s="117" t="s">
        <v>670</v>
      </c>
      <c r="I59" s="118">
        <v>25000</v>
      </c>
      <c r="J59" s="371">
        <f>I59*G59</f>
        <v>15000000</v>
      </c>
    </row>
    <row r="60" spans="1:19" ht="14.1" customHeight="1" x14ac:dyDescent="0.25">
      <c r="A60" s="89" t="s">
        <v>211</v>
      </c>
      <c r="B60" s="1371" t="s">
        <v>216</v>
      </c>
      <c r="C60" s="1372"/>
      <c r="D60" s="1372"/>
      <c r="E60" s="1372"/>
      <c r="F60" s="1423"/>
      <c r="G60" s="207"/>
      <c r="H60" s="208"/>
      <c r="I60" s="209"/>
      <c r="J60" s="374">
        <f>J61</f>
        <v>34200000</v>
      </c>
      <c r="L60" s="1387" t="s">
        <v>381</v>
      </c>
      <c r="M60" s="1387"/>
      <c r="N60" s="1387"/>
      <c r="O60" s="1387"/>
      <c r="P60" s="1387"/>
      <c r="Q60" s="1387"/>
      <c r="R60" s="1387"/>
      <c r="S60" s="1387"/>
    </row>
    <row r="61" spans="1:19" ht="14.1" customHeight="1" x14ac:dyDescent="0.25">
      <c r="A61" s="89" t="s">
        <v>358</v>
      </c>
      <c r="B61" s="90"/>
      <c r="C61" s="1420" t="s">
        <v>212</v>
      </c>
      <c r="D61" s="1420"/>
      <c r="E61" s="91"/>
      <c r="F61" s="213"/>
      <c r="G61" s="182"/>
      <c r="H61" s="204"/>
      <c r="I61" s="205"/>
      <c r="J61" s="372">
        <f>SUM(J62:J65)</f>
        <v>34200000</v>
      </c>
      <c r="L61" s="1387"/>
      <c r="M61" s="1387"/>
      <c r="N61" s="1387"/>
      <c r="O61" s="1387"/>
      <c r="P61" s="1387"/>
      <c r="Q61" s="1387"/>
      <c r="R61" s="1387"/>
      <c r="S61" s="1387"/>
    </row>
    <row r="62" spans="1:19" ht="14.1" customHeight="1" x14ac:dyDescent="0.25">
      <c r="A62" s="99"/>
      <c r="B62" s="100"/>
      <c r="C62" s="109" t="s">
        <v>123</v>
      </c>
      <c r="D62" s="102" t="s">
        <v>213</v>
      </c>
      <c r="E62" s="110" t="s">
        <v>25</v>
      </c>
      <c r="F62" s="111"/>
      <c r="G62" s="116">
        <v>12</v>
      </c>
      <c r="H62" s="117" t="s">
        <v>9</v>
      </c>
      <c r="I62" s="118">
        <v>600000</v>
      </c>
      <c r="J62" s="371">
        <f>I62*G62</f>
        <v>7200000</v>
      </c>
      <c r="L62" s="1387"/>
      <c r="M62" s="1387"/>
      <c r="N62" s="1387"/>
      <c r="O62" s="1387"/>
      <c r="P62" s="1387"/>
      <c r="Q62" s="1387"/>
      <c r="R62" s="1387"/>
      <c r="S62" s="1387"/>
    </row>
    <row r="63" spans="1:19" ht="14.1" customHeight="1" x14ac:dyDescent="0.25">
      <c r="A63" s="89"/>
      <c r="B63" s="94"/>
      <c r="C63" s="109" t="s">
        <v>124</v>
      </c>
      <c r="D63" s="102" t="s">
        <v>214</v>
      </c>
      <c r="E63" s="110" t="s">
        <v>25</v>
      </c>
      <c r="F63" s="111"/>
      <c r="G63" s="116">
        <v>12</v>
      </c>
      <c r="H63" s="117" t="s">
        <v>9</v>
      </c>
      <c r="I63" s="118">
        <v>400000</v>
      </c>
      <c r="J63" s="371">
        <f>I63*G63</f>
        <v>4800000</v>
      </c>
      <c r="L63" s="1387"/>
      <c r="M63" s="1387"/>
      <c r="N63" s="1387"/>
      <c r="O63" s="1387"/>
      <c r="P63" s="1387"/>
      <c r="Q63" s="1387"/>
      <c r="R63" s="1387"/>
      <c r="S63" s="1387"/>
    </row>
    <row r="64" spans="1:19" ht="14.1" customHeight="1" x14ac:dyDescent="0.25">
      <c r="A64" s="99"/>
      <c r="B64" s="100"/>
      <c r="C64" s="109" t="s">
        <v>125</v>
      </c>
      <c r="D64" s="102" t="s">
        <v>215</v>
      </c>
      <c r="E64" s="110" t="s">
        <v>25</v>
      </c>
      <c r="F64" s="111"/>
      <c r="G64" s="116">
        <v>12</v>
      </c>
      <c r="H64" s="117" t="s">
        <v>9</v>
      </c>
      <c r="I64" s="118">
        <v>350000</v>
      </c>
      <c r="J64" s="371">
        <f>I64*G64</f>
        <v>4200000</v>
      </c>
      <c r="L64" s="1387"/>
      <c r="M64" s="1387"/>
      <c r="N64" s="1387"/>
      <c r="O64" s="1387"/>
      <c r="P64" s="1387"/>
      <c r="Q64" s="1387"/>
      <c r="R64" s="1387"/>
      <c r="S64" s="1387"/>
    </row>
    <row r="65" spans="1:20" ht="14.1" customHeight="1" x14ac:dyDescent="0.25">
      <c r="A65" s="99"/>
      <c r="B65" s="214"/>
      <c r="C65" s="215" t="s">
        <v>126</v>
      </c>
      <c r="D65" s="201" t="s">
        <v>21</v>
      </c>
      <c r="E65" s="202" t="s">
        <v>25</v>
      </c>
      <c r="F65" s="203"/>
      <c r="G65" s="182">
        <v>60</v>
      </c>
      <c r="H65" s="204" t="s">
        <v>9</v>
      </c>
      <c r="I65" s="205">
        <v>300000</v>
      </c>
      <c r="J65" s="372">
        <f>I65*G65</f>
        <v>18000000</v>
      </c>
      <c r="L65" s="1387"/>
      <c r="M65" s="1387"/>
      <c r="N65" s="1387"/>
      <c r="O65" s="1387"/>
      <c r="P65" s="1387"/>
      <c r="Q65" s="1387"/>
      <c r="R65" s="1387"/>
      <c r="S65" s="1387"/>
    </row>
    <row r="66" spans="1:20" ht="14.1" customHeight="1" x14ac:dyDescent="0.25">
      <c r="A66" s="89" t="s">
        <v>211</v>
      </c>
      <c r="B66" s="1417" t="s">
        <v>216</v>
      </c>
      <c r="C66" s="1418"/>
      <c r="D66" s="1418"/>
      <c r="E66" s="1418"/>
      <c r="F66" s="1419"/>
      <c r="G66" s="116"/>
      <c r="H66" s="117"/>
      <c r="I66" s="118"/>
      <c r="J66" s="368">
        <f>J67</f>
        <v>24000000</v>
      </c>
    </row>
    <row r="67" spans="1:20" ht="14.1" customHeight="1" x14ac:dyDescent="0.25">
      <c r="A67" s="89" t="s">
        <v>217</v>
      </c>
      <c r="B67" s="216"/>
      <c r="C67" s="1420" t="s">
        <v>218</v>
      </c>
      <c r="D67" s="1420"/>
      <c r="E67" s="110"/>
      <c r="F67" s="111"/>
      <c r="G67" s="182"/>
      <c r="H67" s="204"/>
      <c r="I67" s="205"/>
      <c r="J67" s="372">
        <f>SUM(J68:J69)</f>
        <v>24000000</v>
      </c>
      <c r="L67" s="1387" t="s">
        <v>380</v>
      </c>
      <c r="M67" s="1387"/>
      <c r="N67" s="1387"/>
      <c r="O67" s="1387"/>
      <c r="P67" s="1387"/>
      <c r="Q67" s="1387"/>
      <c r="R67" s="1387"/>
      <c r="S67" s="1387"/>
      <c r="T67" s="98"/>
    </row>
    <row r="68" spans="1:20" ht="14.1" customHeight="1" x14ac:dyDescent="0.25">
      <c r="A68" s="99"/>
      <c r="B68" s="100"/>
      <c r="C68" s="109" t="s">
        <v>123</v>
      </c>
      <c r="D68" s="101" t="s">
        <v>359</v>
      </c>
      <c r="E68" s="110" t="s">
        <v>25</v>
      </c>
      <c r="F68" s="111"/>
      <c r="G68" s="116">
        <v>12</v>
      </c>
      <c r="H68" s="117" t="s">
        <v>9</v>
      </c>
      <c r="I68" s="118">
        <v>1000000</v>
      </c>
      <c r="J68" s="371">
        <f>I68*G68</f>
        <v>12000000</v>
      </c>
      <c r="L68" s="1387"/>
      <c r="M68" s="1387"/>
      <c r="N68" s="1387"/>
      <c r="O68" s="1387"/>
      <c r="P68" s="1387"/>
      <c r="Q68" s="1387"/>
      <c r="R68" s="1387"/>
      <c r="S68" s="1387"/>
      <c r="T68" s="98"/>
    </row>
    <row r="69" spans="1:20" ht="14.1" customHeight="1" x14ac:dyDescent="0.25">
      <c r="A69" s="99"/>
      <c r="B69" s="100"/>
      <c r="C69" s="109" t="s">
        <v>124</v>
      </c>
      <c r="D69" s="101" t="s">
        <v>895</v>
      </c>
      <c r="E69" s="110" t="s">
        <v>25</v>
      </c>
      <c r="F69" s="111"/>
      <c r="G69" s="116">
        <v>12</v>
      </c>
      <c r="H69" s="117" t="s">
        <v>9</v>
      </c>
      <c r="I69" s="118">
        <v>1000000</v>
      </c>
      <c r="J69" s="371">
        <f>I69*G69</f>
        <v>12000000</v>
      </c>
      <c r="L69" s="1387"/>
      <c r="M69" s="1387"/>
      <c r="N69" s="1387"/>
      <c r="O69" s="1387"/>
      <c r="P69" s="1387"/>
      <c r="Q69" s="1387"/>
      <c r="R69" s="1387"/>
      <c r="S69" s="1387"/>
      <c r="T69" s="98"/>
    </row>
    <row r="70" spans="1:20" ht="13.5" customHeight="1" x14ac:dyDescent="0.25">
      <c r="A70" s="99" t="s">
        <v>232</v>
      </c>
      <c r="B70" s="100"/>
      <c r="C70" s="1361" t="s">
        <v>1064</v>
      </c>
      <c r="D70" s="1361"/>
      <c r="E70" s="110"/>
      <c r="F70" s="111"/>
      <c r="G70" s="182"/>
      <c r="H70" s="204"/>
      <c r="I70" s="205"/>
      <c r="J70" s="372">
        <f>SUM(J71:J73)</f>
        <v>21600000</v>
      </c>
      <c r="L70" s="98"/>
      <c r="M70" s="98"/>
      <c r="N70" s="98"/>
      <c r="O70" s="98"/>
      <c r="P70" s="98"/>
      <c r="Q70" s="98"/>
      <c r="R70" s="98"/>
      <c r="S70" s="98"/>
      <c r="T70" s="98"/>
    </row>
    <row r="71" spans="1:20" ht="13.5" customHeight="1" x14ac:dyDescent="0.25">
      <c r="A71" s="99"/>
      <c r="B71" s="100"/>
      <c r="C71" s="109" t="s">
        <v>123</v>
      </c>
      <c r="D71" s="101" t="s">
        <v>183</v>
      </c>
      <c r="E71" s="110" t="s">
        <v>50</v>
      </c>
      <c r="F71" s="111"/>
      <c r="G71" s="116">
        <v>12</v>
      </c>
      <c r="H71" s="117" t="s">
        <v>9</v>
      </c>
      <c r="I71" s="118">
        <v>500000</v>
      </c>
      <c r="J71" s="371">
        <f>I71*G71</f>
        <v>6000000</v>
      </c>
      <c r="L71" s="98"/>
      <c r="M71" s="98"/>
      <c r="N71" s="98"/>
      <c r="O71" s="98"/>
      <c r="P71" s="98"/>
      <c r="Q71" s="98"/>
      <c r="R71" s="98"/>
      <c r="S71" s="98"/>
      <c r="T71" s="98"/>
    </row>
    <row r="72" spans="1:20" ht="13.5" customHeight="1" x14ac:dyDescent="0.25">
      <c r="A72" s="99"/>
      <c r="B72" s="100"/>
      <c r="C72" s="109" t="s">
        <v>124</v>
      </c>
      <c r="D72" s="101" t="s">
        <v>234</v>
      </c>
      <c r="E72" s="110" t="s">
        <v>50</v>
      </c>
      <c r="F72" s="111"/>
      <c r="G72" s="116">
        <v>12</v>
      </c>
      <c r="H72" s="117" t="s">
        <v>9</v>
      </c>
      <c r="I72" s="118">
        <v>400000</v>
      </c>
      <c r="J72" s="371">
        <f>I72*G72</f>
        <v>4800000</v>
      </c>
      <c r="L72" s="98"/>
      <c r="M72" s="98"/>
      <c r="N72" s="98"/>
      <c r="O72" s="98"/>
      <c r="P72" s="98"/>
      <c r="Q72" s="98"/>
      <c r="R72" s="98"/>
      <c r="S72" s="98"/>
      <c r="T72" s="98"/>
    </row>
    <row r="73" spans="1:20" ht="13.5" customHeight="1" x14ac:dyDescent="0.25">
      <c r="A73" s="99"/>
      <c r="B73" s="100"/>
      <c r="C73" s="109" t="s">
        <v>125</v>
      </c>
      <c r="D73" s="101" t="s">
        <v>184</v>
      </c>
      <c r="E73" s="110" t="s">
        <v>50</v>
      </c>
      <c r="F73" s="111"/>
      <c r="G73" s="116">
        <v>36</v>
      </c>
      <c r="H73" s="117" t="s">
        <v>9</v>
      </c>
      <c r="I73" s="205">
        <v>300000</v>
      </c>
      <c r="J73" s="372">
        <f>I73*G73</f>
        <v>10800000</v>
      </c>
      <c r="L73" s="98"/>
      <c r="M73" s="98"/>
      <c r="N73" s="98"/>
      <c r="O73" s="98"/>
      <c r="P73" s="98"/>
      <c r="Q73" s="98"/>
      <c r="R73" s="98"/>
      <c r="S73" s="98"/>
      <c r="T73" s="98"/>
    </row>
    <row r="74" spans="1:20" ht="13.5" customHeight="1" x14ac:dyDescent="0.25">
      <c r="A74" s="89" t="s">
        <v>197</v>
      </c>
      <c r="B74" s="1417" t="s">
        <v>190</v>
      </c>
      <c r="C74" s="1418"/>
      <c r="D74" s="1418"/>
      <c r="E74" s="1418"/>
      <c r="F74" s="1419"/>
      <c r="G74" s="207"/>
      <c r="H74" s="208"/>
      <c r="I74" s="118"/>
      <c r="J74" s="368">
        <f>J75+J77</f>
        <v>28000000</v>
      </c>
      <c r="L74" s="98"/>
      <c r="M74" s="98"/>
      <c r="N74" s="98"/>
      <c r="O74" s="98"/>
      <c r="P74" s="98"/>
      <c r="Q74" s="98"/>
      <c r="R74" s="98"/>
      <c r="S74" s="98"/>
      <c r="T74" s="98"/>
    </row>
    <row r="75" spans="1:20" ht="13.5" customHeight="1" x14ac:dyDescent="0.25">
      <c r="A75" s="89" t="s">
        <v>219</v>
      </c>
      <c r="B75" s="100"/>
      <c r="C75" s="1421" t="s">
        <v>220</v>
      </c>
      <c r="D75" s="1421"/>
      <c r="E75" s="1421"/>
      <c r="F75" s="1422"/>
      <c r="G75" s="182"/>
      <c r="H75" s="204"/>
      <c r="I75" s="205"/>
      <c r="J75" s="372">
        <f>J76</f>
        <v>4800000</v>
      </c>
      <c r="L75" s="1387" t="s">
        <v>382</v>
      </c>
      <c r="M75" s="1387"/>
      <c r="N75" s="1387"/>
      <c r="O75" s="1387"/>
      <c r="P75" s="1387"/>
      <c r="Q75" s="1387"/>
      <c r="R75" s="1387"/>
      <c r="S75" s="1387"/>
      <c r="T75" s="98"/>
    </row>
    <row r="76" spans="1:20" ht="13.5" customHeight="1" x14ac:dyDescent="0.25">
      <c r="B76" s="100"/>
      <c r="C76" s="109" t="s">
        <v>123</v>
      </c>
      <c r="D76" s="101" t="s">
        <v>360</v>
      </c>
      <c r="E76" s="110" t="s">
        <v>25</v>
      </c>
      <c r="F76" s="111"/>
      <c r="G76" s="116">
        <v>12</v>
      </c>
      <c r="H76" s="117" t="s">
        <v>221</v>
      </c>
      <c r="I76" s="118">
        <v>400000</v>
      </c>
      <c r="J76" s="371">
        <f>I76*G76</f>
        <v>4800000</v>
      </c>
      <c r="L76" s="1387"/>
      <c r="M76" s="1387"/>
      <c r="N76" s="1387"/>
      <c r="O76" s="1387"/>
      <c r="P76" s="1387"/>
      <c r="Q76" s="1387"/>
      <c r="R76" s="1387"/>
      <c r="S76" s="1387"/>
      <c r="T76" s="98"/>
    </row>
    <row r="77" spans="1:20" ht="13.5" customHeight="1" x14ac:dyDescent="0.25">
      <c r="A77" s="89" t="s">
        <v>222</v>
      </c>
      <c r="B77" s="100"/>
      <c r="C77" s="1421" t="s">
        <v>223</v>
      </c>
      <c r="D77" s="1421"/>
      <c r="E77" s="1421"/>
      <c r="F77" s="1422"/>
      <c r="G77" s="182"/>
      <c r="H77" s="204"/>
      <c r="I77" s="205"/>
      <c r="J77" s="372">
        <f>SUM(J78:J81)</f>
        <v>23200000</v>
      </c>
      <c r="L77" s="1387"/>
      <c r="M77" s="1387"/>
      <c r="N77" s="1387"/>
      <c r="O77" s="1387"/>
      <c r="P77" s="1387"/>
      <c r="Q77" s="1387"/>
      <c r="R77" s="1387"/>
      <c r="S77" s="1387"/>
      <c r="T77" s="98"/>
    </row>
    <row r="78" spans="1:20" ht="13.5" customHeight="1" x14ac:dyDescent="0.25">
      <c r="A78" s="99"/>
      <c r="B78" s="100"/>
      <c r="C78" s="109" t="s">
        <v>123</v>
      </c>
      <c r="D78" s="101" t="s">
        <v>224</v>
      </c>
      <c r="E78" s="110" t="s">
        <v>50</v>
      </c>
      <c r="F78" s="111"/>
      <c r="G78" s="116">
        <v>1</v>
      </c>
      <c r="H78" s="117" t="s">
        <v>415</v>
      </c>
      <c r="I78" s="118">
        <v>6700000</v>
      </c>
      <c r="J78" s="371">
        <f>I78*G78</f>
        <v>6700000</v>
      </c>
      <c r="L78" s="1387"/>
      <c r="M78" s="1387"/>
      <c r="N78" s="1387"/>
      <c r="O78" s="1387"/>
      <c r="P78" s="1387"/>
      <c r="Q78" s="1387"/>
      <c r="R78" s="1387"/>
      <c r="S78" s="1387"/>
      <c r="T78" s="98"/>
    </row>
    <row r="79" spans="1:20" ht="13.5" customHeight="1" x14ac:dyDescent="0.25">
      <c r="A79" s="99"/>
      <c r="B79" s="100"/>
      <c r="C79" s="109" t="s">
        <v>124</v>
      </c>
      <c r="D79" s="101" t="s">
        <v>225</v>
      </c>
      <c r="E79" s="110" t="s">
        <v>50</v>
      </c>
      <c r="F79" s="111"/>
      <c r="G79" s="116">
        <v>1</v>
      </c>
      <c r="H79" s="117" t="s">
        <v>415</v>
      </c>
      <c r="I79" s="118">
        <v>1500000</v>
      </c>
      <c r="J79" s="371">
        <f>I79*G79</f>
        <v>1500000</v>
      </c>
      <c r="L79" s="1387"/>
      <c r="M79" s="1387"/>
      <c r="N79" s="1387"/>
      <c r="O79" s="1387"/>
      <c r="P79" s="1387"/>
      <c r="Q79" s="1387"/>
      <c r="R79" s="1387"/>
      <c r="S79" s="1387"/>
      <c r="T79" s="98"/>
    </row>
    <row r="80" spans="1:20" ht="13.5" customHeight="1" x14ac:dyDescent="0.25">
      <c r="A80" s="99"/>
      <c r="B80" s="100"/>
      <c r="C80" s="109" t="s">
        <v>125</v>
      </c>
      <c r="D80" s="101" t="s">
        <v>226</v>
      </c>
      <c r="E80" s="110" t="s">
        <v>50</v>
      </c>
      <c r="F80" s="111"/>
      <c r="G80" s="116">
        <v>12</v>
      </c>
      <c r="H80" s="117" t="s">
        <v>221</v>
      </c>
      <c r="I80" s="118">
        <v>500000</v>
      </c>
      <c r="J80" s="371">
        <f>I80*G80</f>
        <v>6000000</v>
      </c>
      <c r="L80" s="1387"/>
      <c r="M80" s="1387"/>
      <c r="N80" s="1387"/>
      <c r="O80" s="1387"/>
      <c r="P80" s="1387"/>
      <c r="Q80" s="1387"/>
      <c r="R80" s="1387"/>
      <c r="S80" s="1387"/>
      <c r="T80" s="98"/>
    </row>
    <row r="81" spans="1:20" ht="13.5" customHeight="1" x14ac:dyDescent="0.25">
      <c r="A81" s="99"/>
      <c r="B81" s="214"/>
      <c r="C81" s="109" t="s">
        <v>126</v>
      </c>
      <c r="D81" s="212" t="s">
        <v>361</v>
      </c>
      <c r="E81" s="202" t="s">
        <v>50</v>
      </c>
      <c r="F81" s="203"/>
      <c r="G81" s="182">
        <v>12</v>
      </c>
      <c r="H81" s="204" t="s">
        <v>221</v>
      </c>
      <c r="I81" s="205">
        <v>750000</v>
      </c>
      <c r="J81" s="372">
        <f>I81*G81</f>
        <v>9000000</v>
      </c>
      <c r="L81" s="1387"/>
      <c r="M81" s="1387"/>
      <c r="N81" s="1387"/>
      <c r="O81" s="1387"/>
      <c r="P81" s="1387"/>
      <c r="Q81" s="1387"/>
      <c r="R81" s="1387"/>
      <c r="S81" s="1387"/>
      <c r="T81" s="98"/>
    </row>
    <row r="82" spans="1:20" s="79" customFormat="1" ht="20.85" customHeight="1" x14ac:dyDescent="0.25">
      <c r="A82" s="127"/>
      <c r="B82" s="1357" t="s">
        <v>15</v>
      </c>
      <c r="C82" s="1358"/>
      <c r="D82" s="1358"/>
      <c r="E82" s="1358"/>
      <c r="F82" s="80"/>
      <c r="G82" s="1357"/>
      <c r="H82" s="1362"/>
      <c r="I82" s="127"/>
      <c r="J82" s="367">
        <f>J13</f>
        <v>164090000</v>
      </c>
    </row>
    <row r="83" spans="1:20" s="79" customFormat="1" ht="9.75" customHeight="1" x14ac:dyDescent="0.25">
      <c r="A83" s="128"/>
      <c r="B83" s="128"/>
      <c r="C83" s="129"/>
      <c r="D83" s="78"/>
      <c r="E83" s="78"/>
      <c r="F83" s="78"/>
      <c r="G83" s="78"/>
      <c r="H83" s="78"/>
      <c r="I83" s="128"/>
      <c r="J83" s="375"/>
    </row>
    <row r="84" spans="1:20" s="79" customFormat="1" ht="14.25" customHeight="1" x14ac:dyDescent="0.25">
      <c r="A84" s="131"/>
      <c r="B84" s="131"/>
      <c r="C84" s="109"/>
      <c r="D84" s="132"/>
      <c r="E84" s="132"/>
      <c r="F84" s="132"/>
      <c r="G84" s="1359" t="s">
        <v>1002</v>
      </c>
      <c r="H84" s="1360"/>
      <c r="I84" s="1360"/>
      <c r="J84" s="1360"/>
    </row>
    <row r="85" spans="1:20" s="133" customFormat="1" ht="15" customHeight="1" x14ac:dyDescent="0.25">
      <c r="A85" s="1356" t="s">
        <v>11</v>
      </c>
      <c r="B85" s="1356"/>
      <c r="C85" s="1356"/>
      <c r="D85" s="1356"/>
      <c r="E85" s="134"/>
      <c r="F85" s="134"/>
      <c r="G85" s="1356" t="s">
        <v>21</v>
      </c>
      <c r="H85" s="1356"/>
      <c r="I85" s="1356"/>
      <c r="J85" s="1356"/>
    </row>
    <row r="89" spans="1:20" s="74" customFormat="1" ht="10.199999999999999" x14ac:dyDescent="0.25">
      <c r="A89" s="1355" t="s">
        <v>1000</v>
      </c>
      <c r="B89" s="1355"/>
      <c r="C89" s="1355"/>
      <c r="D89" s="1355"/>
      <c r="G89" s="1355" t="s">
        <v>192</v>
      </c>
      <c r="H89" s="1355"/>
      <c r="I89" s="1355"/>
      <c r="J89" s="1355"/>
    </row>
  </sheetData>
  <mergeCells count="43">
    <mergeCell ref="C15:D15"/>
    <mergeCell ref="B14:D14"/>
    <mergeCell ref="C58:D58"/>
    <mergeCell ref="D6:J6"/>
    <mergeCell ref="B10:F11"/>
    <mergeCell ref="D9:J9"/>
    <mergeCell ref="G10:J10"/>
    <mergeCell ref="D8:J8"/>
    <mergeCell ref="G11:H11"/>
    <mergeCell ref="B12:F12"/>
    <mergeCell ref="B57:D57"/>
    <mergeCell ref="A89:D89"/>
    <mergeCell ref="D7:J7"/>
    <mergeCell ref="G89:J89"/>
    <mergeCell ref="G82:H82"/>
    <mergeCell ref="B66:F66"/>
    <mergeCell ref="C67:D67"/>
    <mergeCell ref="C70:D70"/>
    <mergeCell ref="B74:F74"/>
    <mergeCell ref="C75:F75"/>
    <mergeCell ref="B60:F60"/>
    <mergeCell ref="C61:D61"/>
    <mergeCell ref="A10:A11"/>
    <mergeCell ref="C77:F77"/>
    <mergeCell ref="A85:D85"/>
    <mergeCell ref="G84:J84"/>
    <mergeCell ref="B82:E82"/>
    <mergeCell ref="A1:J1"/>
    <mergeCell ref="M3:N3"/>
    <mergeCell ref="G12:H12"/>
    <mergeCell ref="G85:J85"/>
    <mergeCell ref="L67:S69"/>
    <mergeCell ref="L75:S81"/>
    <mergeCell ref="L60:S65"/>
    <mergeCell ref="L2:N2"/>
    <mergeCell ref="C52:D52"/>
    <mergeCell ref="B13:F13"/>
    <mergeCell ref="M5:N5"/>
    <mergeCell ref="M4:N4"/>
    <mergeCell ref="A3:J3"/>
    <mergeCell ref="B51:D51"/>
    <mergeCell ref="D5:J5"/>
    <mergeCell ref="A2:J2"/>
  </mergeCells>
  <pageMargins left="0.8" right="0.65" top="0.68" bottom="0.75" header="0.3" footer="0.3"/>
  <pageSetup paperSize="14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S27"/>
  <sheetViews>
    <sheetView topLeftCell="A4" zoomScale="190" zoomScaleNormal="190" workbookViewId="0">
      <selection activeCell="A4" sqref="A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25</v>
      </c>
      <c r="M3" s="1366">
        <f>J15</f>
        <v>58800000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50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55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178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58800000</v>
      </c>
    </row>
    <row r="14" spans="1:19" ht="15.15" customHeight="1" x14ac:dyDescent="0.25">
      <c r="A14" s="89" t="s">
        <v>180</v>
      </c>
      <c r="B14" s="1371" t="s">
        <v>179</v>
      </c>
      <c r="C14" s="1372"/>
      <c r="D14" s="1372"/>
      <c r="E14" s="92"/>
      <c r="F14" s="93"/>
      <c r="G14" s="94"/>
      <c r="H14" s="95"/>
      <c r="I14" s="96"/>
      <c r="J14" s="97">
        <f>J15</f>
        <v>58800000</v>
      </c>
      <c r="L14" s="1387" t="s">
        <v>342</v>
      </c>
      <c r="M14" s="1387"/>
      <c r="N14" s="1387"/>
      <c r="O14" s="1387"/>
      <c r="P14" s="1387"/>
      <c r="Q14" s="1387"/>
      <c r="R14" s="1387"/>
      <c r="S14" s="1387"/>
    </row>
    <row r="15" spans="1:19" ht="14.1" customHeight="1" x14ac:dyDescent="0.25">
      <c r="A15" s="99" t="s">
        <v>181</v>
      </c>
      <c r="B15" s="100"/>
      <c r="C15" s="1361" t="s">
        <v>179</v>
      </c>
      <c r="D15" s="1361"/>
      <c r="E15" s="102"/>
      <c r="F15" s="103"/>
      <c r="G15" s="104"/>
      <c r="H15" s="95"/>
      <c r="I15" s="105"/>
      <c r="J15" s="106">
        <f>SUM(J16:J19)</f>
        <v>58800000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3.5" customHeight="1" x14ac:dyDescent="0.25">
      <c r="A16" s="107"/>
      <c r="B16" s="108"/>
      <c r="C16" s="109" t="s">
        <v>123</v>
      </c>
      <c r="D16" s="102" t="s">
        <v>183</v>
      </c>
      <c r="E16" s="110" t="s">
        <v>25</v>
      </c>
      <c r="F16" s="111"/>
      <c r="G16" s="112">
        <v>12</v>
      </c>
      <c r="H16" s="113" t="s">
        <v>9</v>
      </c>
      <c r="I16" s="114">
        <v>750000</v>
      </c>
      <c r="J16" s="114">
        <f>I16*G16</f>
        <v>9000000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09" t="s">
        <v>124</v>
      </c>
      <c r="D17" s="102" t="s">
        <v>182</v>
      </c>
      <c r="E17" s="110" t="s">
        <v>25</v>
      </c>
      <c r="F17" s="111"/>
      <c r="G17" s="116">
        <v>12</v>
      </c>
      <c r="H17" s="117" t="s">
        <v>9</v>
      </c>
      <c r="I17" s="118">
        <v>600000</v>
      </c>
      <c r="J17" s="118">
        <f>I17*G17</f>
        <v>7200000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ht="13.5" customHeight="1" x14ac:dyDescent="0.25">
      <c r="A18" s="107"/>
      <c r="B18" s="108"/>
      <c r="C18" s="109" t="s">
        <v>125</v>
      </c>
      <c r="D18" s="102" t="s">
        <v>453</v>
      </c>
      <c r="E18" s="110" t="s">
        <v>25</v>
      </c>
      <c r="F18" s="111"/>
      <c r="G18" s="116">
        <v>12</v>
      </c>
      <c r="H18" s="117" t="s">
        <v>9</v>
      </c>
      <c r="I18" s="118">
        <v>550000</v>
      </c>
      <c r="J18" s="118">
        <f>I18*G18</f>
        <v>6600000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ht="13.5" customHeight="1" x14ac:dyDescent="0.25">
      <c r="A19" s="119"/>
      <c r="B19" s="120"/>
      <c r="C19" s="121" t="s">
        <v>126</v>
      </c>
      <c r="D19" s="122" t="s">
        <v>184</v>
      </c>
      <c r="E19" s="123" t="s">
        <v>25</v>
      </c>
      <c r="F19" s="124"/>
      <c r="G19" s="125">
        <v>72</v>
      </c>
      <c r="H19" s="126" t="s">
        <v>9</v>
      </c>
      <c r="I19" s="106">
        <v>500000</v>
      </c>
      <c r="J19" s="106">
        <f>I19*G19</f>
        <v>36000000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s="79" customFormat="1" ht="20.85" customHeight="1" x14ac:dyDescent="0.25">
      <c r="A20" s="127"/>
      <c r="B20" s="1357" t="s">
        <v>15</v>
      </c>
      <c r="C20" s="1358"/>
      <c r="D20" s="1358"/>
      <c r="E20" s="1358"/>
      <c r="F20" s="80"/>
      <c r="G20" s="1357"/>
      <c r="H20" s="1362"/>
      <c r="I20" s="127"/>
      <c r="J20" s="88">
        <f>J13</f>
        <v>58800000</v>
      </c>
    </row>
    <row r="21" spans="1:19" s="79" customFormat="1" ht="9.75" customHeight="1" x14ac:dyDescent="0.25">
      <c r="A21" s="128"/>
      <c r="B21" s="128"/>
      <c r="C21" s="129"/>
      <c r="D21" s="78"/>
      <c r="E21" s="78"/>
      <c r="F21" s="78"/>
      <c r="G21" s="78"/>
      <c r="H21" s="78"/>
      <c r="I21" s="128"/>
      <c r="J21" s="130"/>
    </row>
    <row r="22" spans="1:19" s="79" customFormat="1" ht="14.25" customHeight="1" x14ac:dyDescent="0.25">
      <c r="A22" s="131"/>
      <c r="B22" s="131"/>
      <c r="C22" s="109"/>
      <c r="D22" s="132"/>
      <c r="E22" s="132"/>
      <c r="F22" s="132"/>
      <c r="G22" s="1359" t="s">
        <v>1002</v>
      </c>
      <c r="H22" s="1360"/>
      <c r="I22" s="1360"/>
      <c r="J22" s="1360"/>
    </row>
    <row r="23" spans="1:19" s="133" customFormat="1" ht="15" customHeight="1" x14ac:dyDescent="0.25">
      <c r="A23" s="1356" t="s">
        <v>11</v>
      </c>
      <c r="B23" s="1356"/>
      <c r="C23" s="1356"/>
      <c r="D23" s="1356"/>
      <c r="E23" s="134"/>
      <c r="F23" s="134"/>
      <c r="G23" s="1356" t="s">
        <v>21</v>
      </c>
      <c r="H23" s="1356"/>
      <c r="I23" s="1356"/>
      <c r="J23" s="1356"/>
    </row>
    <row r="27" spans="1:19" s="74" customFormat="1" ht="10.199999999999999" x14ac:dyDescent="0.25">
      <c r="A27" s="1355" t="s">
        <v>1000</v>
      </c>
      <c r="B27" s="1355"/>
      <c r="C27" s="1355"/>
      <c r="D27" s="1355"/>
      <c r="G27" s="1355" t="s">
        <v>192</v>
      </c>
      <c r="H27" s="1355"/>
      <c r="I27" s="1355"/>
      <c r="J27" s="1355"/>
    </row>
  </sheetData>
  <mergeCells count="28">
    <mergeCell ref="G23:J23"/>
    <mergeCell ref="M3:N3"/>
    <mergeCell ref="A23:D23"/>
    <mergeCell ref="G27:J27"/>
    <mergeCell ref="A1:J1"/>
    <mergeCell ref="A27:D27"/>
    <mergeCell ref="A3:J3"/>
    <mergeCell ref="A2:J2"/>
    <mergeCell ref="B20:E20"/>
    <mergeCell ref="G20:H20"/>
    <mergeCell ref="D8:J8"/>
    <mergeCell ref="B13:F13"/>
    <mergeCell ref="D6:J6"/>
    <mergeCell ref="B14:D14"/>
    <mergeCell ref="A10:A11"/>
    <mergeCell ref="C15:D15"/>
    <mergeCell ref="L2:N2"/>
    <mergeCell ref="G11:H11"/>
    <mergeCell ref="G22:J22"/>
    <mergeCell ref="L14:S19"/>
    <mergeCell ref="M4:N4"/>
    <mergeCell ref="D5:J5"/>
    <mergeCell ref="D9:J9"/>
    <mergeCell ref="B12:F12"/>
    <mergeCell ref="G12:H12"/>
    <mergeCell ref="G10:J10"/>
    <mergeCell ref="B10:F11"/>
    <mergeCell ref="D7:J7"/>
  </mergeCells>
  <pageMargins left="0.8" right="0.65" top="0.68" bottom="0.75" header="0.3" footer="0.3"/>
  <pageSetup paperSize="14" fitToWidth="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S24"/>
  <sheetViews>
    <sheetView zoomScale="185" workbookViewId="0">
      <selection activeCell="A2" sqref="A2:J2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25</v>
      </c>
      <c r="M3" s="1366">
        <f>J17</f>
        <v>4000000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50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186</v>
      </c>
      <c r="E6" s="1382"/>
      <c r="F6" s="1382"/>
      <c r="G6" s="1382"/>
      <c r="H6" s="1382"/>
      <c r="I6" s="1382"/>
      <c r="J6" s="1382"/>
      <c r="K6" s="72" t="s">
        <v>669</v>
      </c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187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4000000</v>
      </c>
      <c r="L13" s="1387" t="s">
        <v>344</v>
      </c>
      <c r="M13" s="1387"/>
      <c r="N13" s="1387"/>
      <c r="O13" s="1387"/>
      <c r="P13" s="1387"/>
      <c r="Q13" s="1387"/>
      <c r="R13" s="1387"/>
      <c r="S13" s="1387"/>
    </row>
    <row r="14" spans="1:19" ht="15.15" customHeight="1" x14ac:dyDescent="0.25">
      <c r="A14" s="89" t="s">
        <v>188</v>
      </c>
      <c r="B14" s="1371" t="s">
        <v>187</v>
      </c>
      <c r="C14" s="1372"/>
      <c r="D14" s="1372"/>
      <c r="E14" s="92"/>
      <c r="F14" s="93"/>
      <c r="G14" s="94"/>
      <c r="H14" s="95"/>
      <c r="I14" s="96"/>
      <c r="J14" s="97">
        <f>J15</f>
        <v>4000000</v>
      </c>
      <c r="L14" s="1387"/>
      <c r="M14" s="1387"/>
      <c r="N14" s="1387"/>
      <c r="O14" s="1387"/>
      <c r="P14" s="1387"/>
      <c r="Q14" s="1387"/>
      <c r="R14" s="1387"/>
      <c r="S14" s="1387"/>
    </row>
    <row r="15" spans="1:19" ht="14.1" customHeight="1" x14ac:dyDescent="0.25">
      <c r="A15" s="99" t="s">
        <v>189</v>
      </c>
      <c r="B15" s="100"/>
      <c r="C15" s="1361" t="s">
        <v>190</v>
      </c>
      <c r="D15" s="1361"/>
      <c r="E15" s="102"/>
      <c r="F15" s="103"/>
      <c r="G15" s="104"/>
      <c r="H15" s="95"/>
      <c r="I15" s="105"/>
      <c r="J15" s="106">
        <f>SUM(J16:J16)</f>
        <v>4000000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3.5" customHeight="1" x14ac:dyDescent="0.25">
      <c r="A16" s="107"/>
      <c r="B16" s="108"/>
      <c r="C16" s="109" t="s">
        <v>123</v>
      </c>
      <c r="D16" s="102" t="s">
        <v>191</v>
      </c>
      <c r="E16" s="110" t="s">
        <v>25</v>
      </c>
      <c r="F16" s="111"/>
      <c r="G16" s="112">
        <v>1</v>
      </c>
      <c r="H16" s="113" t="s">
        <v>177</v>
      </c>
      <c r="I16" s="114">
        <v>4000000</v>
      </c>
      <c r="J16" s="114">
        <f>I16*G16</f>
        <v>4000000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s="79" customFormat="1" ht="20.85" customHeight="1" x14ac:dyDescent="0.25">
      <c r="A17" s="127"/>
      <c r="B17" s="1357" t="s">
        <v>15</v>
      </c>
      <c r="C17" s="1358"/>
      <c r="D17" s="1358"/>
      <c r="E17" s="1358"/>
      <c r="F17" s="80"/>
      <c r="G17" s="1357"/>
      <c r="H17" s="1362"/>
      <c r="I17" s="127"/>
      <c r="J17" s="88">
        <f>J13</f>
        <v>4000000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s="79" customFormat="1" ht="9.75" customHeight="1" x14ac:dyDescent="0.25">
      <c r="A18" s="128"/>
      <c r="B18" s="128"/>
      <c r="C18" s="129"/>
      <c r="D18" s="78"/>
      <c r="E18" s="78"/>
      <c r="F18" s="78"/>
      <c r="G18" s="78"/>
      <c r="H18" s="78"/>
      <c r="I18" s="128"/>
      <c r="J18" s="130"/>
      <c r="L18" s="1387"/>
      <c r="M18" s="1387"/>
      <c r="N18" s="1387"/>
      <c r="O18" s="1387"/>
      <c r="P18" s="1387"/>
      <c r="Q18" s="1387"/>
      <c r="R18" s="1387"/>
      <c r="S18" s="1387"/>
    </row>
    <row r="19" spans="1:19" s="79" customFormat="1" ht="14.25" customHeight="1" x14ac:dyDescent="0.25">
      <c r="A19" s="131"/>
      <c r="B19" s="131"/>
      <c r="C19" s="109"/>
      <c r="D19" s="132"/>
      <c r="E19" s="132"/>
      <c r="F19" s="132"/>
      <c r="G19" s="1359" t="s">
        <v>1002</v>
      </c>
      <c r="H19" s="1360"/>
      <c r="I19" s="1360"/>
      <c r="J19" s="1360"/>
    </row>
    <row r="20" spans="1:19" s="133" customFormat="1" ht="15" customHeight="1" x14ac:dyDescent="0.25">
      <c r="A20" s="1356" t="s">
        <v>11</v>
      </c>
      <c r="B20" s="1356"/>
      <c r="C20" s="1356"/>
      <c r="D20" s="1356"/>
      <c r="E20" s="134"/>
      <c r="F20" s="134"/>
      <c r="G20" s="1356" t="s">
        <v>21</v>
      </c>
      <c r="H20" s="1356"/>
      <c r="I20" s="1356"/>
      <c r="J20" s="1356"/>
    </row>
    <row r="24" spans="1:19" s="74" customFormat="1" ht="10.199999999999999" x14ac:dyDescent="0.25">
      <c r="A24" s="1355" t="s">
        <v>1000</v>
      </c>
      <c r="B24" s="1355"/>
      <c r="C24" s="1355"/>
      <c r="D24" s="1355"/>
      <c r="G24" s="1355" t="s">
        <v>192</v>
      </c>
      <c r="H24" s="1355"/>
      <c r="I24" s="1355"/>
      <c r="J24" s="1355"/>
    </row>
  </sheetData>
  <mergeCells count="28">
    <mergeCell ref="L2:N2"/>
    <mergeCell ref="B14:D14"/>
    <mergeCell ref="A10:A11"/>
    <mergeCell ref="G17:H17"/>
    <mergeCell ref="D6:J6"/>
    <mergeCell ref="B13:F13"/>
    <mergeCell ref="D5:J5"/>
    <mergeCell ref="B12:F12"/>
    <mergeCell ref="G12:H12"/>
    <mergeCell ref="G10:J10"/>
    <mergeCell ref="G11:H11"/>
    <mergeCell ref="D8:J8"/>
    <mergeCell ref="D9:J9"/>
    <mergeCell ref="C15:D15"/>
    <mergeCell ref="D7:J7"/>
    <mergeCell ref="B10:F11"/>
    <mergeCell ref="A1:J1"/>
    <mergeCell ref="A24:D24"/>
    <mergeCell ref="G19:J19"/>
    <mergeCell ref="G20:J20"/>
    <mergeCell ref="A2:J2"/>
    <mergeCell ref="B17:E17"/>
    <mergeCell ref="L13:S18"/>
    <mergeCell ref="A3:J3"/>
    <mergeCell ref="G24:J24"/>
    <mergeCell ref="M4:N4"/>
    <mergeCell ref="M3:N3"/>
    <mergeCell ref="A20:D20"/>
  </mergeCells>
  <pageMargins left="0.8" right="0.65" top="0.68" bottom="0.75" header="0.3" footer="0.3"/>
  <pageSetup paperSize="14" fitToWidth="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S25"/>
  <sheetViews>
    <sheetView topLeftCell="A2" zoomScale="190" workbookViewId="0">
      <selection activeCell="A4" sqref="A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25</v>
      </c>
      <c r="M3" s="1366">
        <f>J18</f>
        <v>143940000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50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193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194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143940000</v>
      </c>
      <c r="L13" s="1387" t="s">
        <v>343</v>
      </c>
      <c r="M13" s="1387"/>
      <c r="N13" s="1387"/>
      <c r="O13" s="1387"/>
      <c r="P13" s="1387"/>
      <c r="Q13" s="1387"/>
      <c r="R13" s="1387"/>
      <c r="S13" s="1387"/>
    </row>
    <row r="14" spans="1:19" ht="15.15" customHeight="1" x14ac:dyDescent="0.25">
      <c r="A14" s="89" t="s">
        <v>197</v>
      </c>
      <c r="B14" s="1371" t="s">
        <v>195</v>
      </c>
      <c r="C14" s="1372"/>
      <c r="D14" s="1372"/>
      <c r="E14" s="92"/>
      <c r="F14" s="93"/>
      <c r="G14" s="94"/>
      <c r="H14" s="95"/>
      <c r="I14" s="96"/>
      <c r="J14" s="97">
        <f>J15</f>
        <v>143940000</v>
      </c>
      <c r="L14" s="1387"/>
      <c r="M14" s="1387"/>
      <c r="N14" s="1387"/>
      <c r="O14" s="1387"/>
      <c r="P14" s="1387"/>
      <c r="Q14" s="1387"/>
      <c r="R14" s="1387"/>
      <c r="S14" s="1387"/>
    </row>
    <row r="15" spans="1:19" ht="14.1" customHeight="1" x14ac:dyDescent="0.25">
      <c r="A15" s="99" t="s">
        <v>198</v>
      </c>
      <c r="B15" s="100"/>
      <c r="C15" s="1361" t="s">
        <v>196</v>
      </c>
      <c r="D15" s="1361"/>
      <c r="E15" s="102"/>
      <c r="F15" s="103"/>
      <c r="G15" s="104"/>
      <c r="H15" s="95"/>
      <c r="I15" s="105"/>
      <c r="J15" s="106">
        <f>SUM(J16:J17)</f>
        <v>143940000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3.5" customHeight="1" x14ac:dyDescent="0.25">
      <c r="A16" s="107"/>
      <c r="B16" s="108"/>
      <c r="C16" s="109" t="s">
        <v>123</v>
      </c>
      <c r="D16" s="102" t="s">
        <v>466</v>
      </c>
      <c r="E16" s="110" t="s">
        <v>25</v>
      </c>
      <c r="F16" s="111"/>
      <c r="G16" s="112">
        <v>84</v>
      </c>
      <c r="H16" s="113" t="s">
        <v>9</v>
      </c>
      <c r="I16" s="114">
        <v>275000</v>
      </c>
      <c r="J16" s="114">
        <f>I16*G16</f>
        <v>23100000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09" t="s">
        <v>124</v>
      </c>
      <c r="D17" s="102" t="s">
        <v>467</v>
      </c>
      <c r="E17" s="110" t="s">
        <v>25</v>
      </c>
      <c r="F17" s="111"/>
      <c r="G17" s="116">
        <v>456</v>
      </c>
      <c r="H17" s="117" t="s">
        <v>9</v>
      </c>
      <c r="I17" s="118">
        <v>265000</v>
      </c>
      <c r="J17" s="118">
        <f>I17*G17</f>
        <v>120840000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s="79" customFormat="1" ht="20.85" customHeight="1" x14ac:dyDescent="0.25">
      <c r="A18" s="127"/>
      <c r="B18" s="1357" t="s">
        <v>15</v>
      </c>
      <c r="C18" s="1358"/>
      <c r="D18" s="1358"/>
      <c r="E18" s="1358"/>
      <c r="F18" s="80"/>
      <c r="G18" s="1357"/>
      <c r="H18" s="1362"/>
      <c r="I18" s="127"/>
      <c r="J18" s="88">
        <f>J13</f>
        <v>143940000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s="79" customFormat="1" ht="9.75" customHeight="1" x14ac:dyDescent="0.25">
      <c r="A19" s="128"/>
      <c r="B19" s="128"/>
      <c r="C19" s="129"/>
      <c r="D19" s="78"/>
      <c r="E19" s="78"/>
      <c r="F19" s="78"/>
      <c r="G19" s="78"/>
      <c r="H19" s="78"/>
      <c r="I19" s="128"/>
      <c r="J19" s="130"/>
    </row>
    <row r="20" spans="1:19" s="79" customFormat="1" ht="14.25" customHeight="1" x14ac:dyDescent="0.25">
      <c r="A20" s="131"/>
      <c r="B20" s="131"/>
      <c r="C20" s="109"/>
      <c r="D20" s="132"/>
      <c r="E20" s="132"/>
      <c r="F20" s="132"/>
      <c r="G20" s="1359" t="s">
        <v>1002</v>
      </c>
      <c r="H20" s="1360"/>
      <c r="I20" s="1360"/>
      <c r="J20" s="1360"/>
    </row>
    <row r="21" spans="1:19" s="133" customFormat="1" ht="15" customHeight="1" x14ac:dyDescent="0.25">
      <c r="A21" s="1356" t="s">
        <v>11</v>
      </c>
      <c r="B21" s="1356"/>
      <c r="C21" s="1356"/>
      <c r="D21" s="1356"/>
      <c r="E21" s="134"/>
      <c r="F21" s="134"/>
      <c r="G21" s="1356" t="s">
        <v>21</v>
      </c>
      <c r="H21" s="1356"/>
      <c r="I21" s="1356"/>
      <c r="J21" s="1356"/>
    </row>
    <row r="25" spans="1:19" s="74" customFormat="1" ht="10.199999999999999" x14ac:dyDescent="0.25">
      <c r="A25" s="1355" t="s">
        <v>1000</v>
      </c>
      <c r="B25" s="1355"/>
      <c r="C25" s="1355"/>
      <c r="D25" s="1355"/>
      <c r="G25" s="1355" t="s">
        <v>199</v>
      </c>
      <c r="H25" s="1355"/>
      <c r="I25" s="1355"/>
      <c r="J25" s="1355"/>
    </row>
  </sheetData>
  <mergeCells count="28">
    <mergeCell ref="D8:J8"/>
    <mergeCell ref="G12:H12"/>
    <mergeCell ref="G10:J10"/>
    <mergeCell ref="D9:J9"/>
    <mergeCell ref="G11:H11"/>
    <mergeCell ref="A1:J1"/>
    <mergeCell ref="A3:J3"/>
    <mergeCell ref="D6:J6"/>
    <mergeCell ref="M3:N3"/>
    <mergeCell ref="G18:H18"/>
    <mergeCell ref="D7:J7"/>
    <mergeCell ref="B12:F12"/>
    <mergeCell ref="L2:N2"/>
    <mergeCell ref="C15:D15"/>
    <mergeCell ref="A10:A11"/>
    <mergeCell ref="M4:N4"/>
    <mergeCell ref="B14:D14"/>
    <mergeCell ref="A2:J2"/>
    <mergeCell ref="B18:E18"/>
    <mergeCell ref="D5:J5"/>
    <mergeCell ref="B13:F13"/>
    <mergeCell ref="L13:S18"/>
    <mergeCell ref="B10:F11"/>
    <mergeCell ref="A21:D21"/>
    <mergeCell ref="A25:D25"/>
    <mergeCell ref="G25:J25"/>
    <mergeCell ref="G21:J21"/>
    <mergeCell ref="G20:J20"/>
  </mergeCells>
  <pageMargins left="0.8" right="0.65" top="0.68" bottom="0.75" header="0.3" footer="0.3"/>
  <pageSetup paperSize="14" fitToWidth="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S42"/>
  <sheetViews>
    <sheetView topLeftCell="A7" zoomScale="160" zoomScaleNormal="160" workbookViewId="0">
      <selection activeCell="L23" sqref="L23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4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4.109375" style="72" customWidth="1"/>
    <col min="10" max="10" width="16" style="72" customWidth="1"/>
    <col min="11" max="11" width="9.33203125" style="72"/>
    <col min="12" max="12" width="26" style="39" customWidth="1"/>
    <col min="13" max="13" width="6" style="39" customWidth="1"/>
    <col min="14" max="14" width="6.77734375" style="39" customWidth="1"/>
    <col min="15" max="15" width="9.6640625" style="39" customWidth="1"/>
    <col min="16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430" t="s">
        <v>421</v>
      </c>
      <c r="M2" s="1430"/>
      <c r="N2" s="1430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39" t="s">
        <v>25</v>
      </c>
      <c r="M3" s="1426">
        <v>0</v>
      </c>
      <c r="N3" s="142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39" t="s">
        <v>50</v>
      </c>
      <c r="M4" s="1426">
        <f>SUM(J16:J27)</f>
        <v>38129000</v>
      </c>
      <c r="N4" s="142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200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201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  <c r="L11" s="43"/>
      <c r="M11" s="43"/>
      <c r="N11" s="43"/>
      <c r="O11" s="43"/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  <c r="L12" s="43"/>
      <c r="M12" s="43"/>
      <c r="N12" s="43"/>
      <c r="O12" s="43"/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38129000</v>
      </c>
    </row>
    <row r="14" spans="1:19" ht="14.1" customHeight="1" x14ac:dyDescent="0.25">
      <c r="A14" s="89" t="s">
        <v>202</v>
      </c>
      <c r="B14" s="1427" t="s">
        <v>204</v>
      </c>
      <c r="C14" s="1428"/>
      <c r="D14" s="1428"/>
      <c r="E14" s="1428"/>
      <c r="F14" s="1429"/>
      <c r="G14" s="116"/>
      <c r="H14" s="117"/>
      <c r="I14" s="118"/>
      <c r="J14" s="97">
        <f>J15</f>
        <v>38129000</v>
      </c>
      <c r="L14" s="1387"/>
      <c r="M14" s="1387"/>
      <c r="N14" s="1387"/>
      <c r="O14" s="1387"/>
      <c r="P14" s="1387"/>
      <c r="Q14" s="1387"/>
      <c r="R14" s="1387"/>
      <c r="S14" s="1387"/>
    </row>
    <row r="15" spans="1:19" ht="14.1" customHeight="1" x14ac:dyDescent="0.25">
      <c r="A15" s="99" t="s">
        <v>205</v>
      </c>
      <c r="B15" s="100"/>
      <c r="C15" s="1424" t="s">
        <v>206</v>
      </c>
      <c r="D15" s="1424"/>
      <c r="E15" s="1424"/>
      <c r="F15" s="1425"/>
      <c r="G15" s="182"/>
      <c r="H15" s="204"/>
      <c r="I15" s="205"/>
      <c r="J15" s="205">
        <f>SUM(J16:J27)</f>
        <v>38129000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">
      <c r="A16" s="99"/>
      <c r="B16" s="100"/>
      <c r="C16" s="109" t="s">
        <v>123</v>
      </c>
      <c r="D16" s="217" t="s">
        <v>460</v>
      </c>
      <c r="E16" s="217" t="s">
        <v>50</v>
      </c>
      <c r="F16" s="218"/>
      <c r="G16" s="116">
        <v>1</v>
      </c>
      <c r="H16" s="117" t="s">
        <v>315</v>
      </c>
      <c r="I16" s="118">
        <v>2000000</v>
      </c>
      <c r="J16" s="118">
        <f t="shared" ref="J16:J26" si="0">I16*G16</f>
        <v>2000000</v>
      </c>
      <c r="L16" s="1195"/>
      <c r="M16" s="1195"/>
      <c r="N16" s="1165"/>
      <c r="O16" s="1165">
        <f>SUM(O17:O36,O39)</f>
        <v>4129000</v>
      </c>
      <c r="P16" s="135"/>
      <c r="Q16" s="135"/>
      <c r="R16" s="135"/>
      <c r="S16" s="135"/>
    </row>
    <row r="17" spans="1:19" ht="14.1" customHeight="1" x14ac:dyDescent="0.2">
      <c r="A17" s="99"/>
      <c r="B17" s="100"/>
      <c r="C17" s="109" t="s">
        <v>124</v>
      </c>
      <c r="D17" s="217" t="s">
        <v>454</v>
      </c>
      <c r="E17" s="217" t="s">
        <v>50</v>
      </c>
      <c r="F17" s="218"/>
      <c r="G17" s="116">
        <v>1</v>
      </c>
      <c r="H17" s="117" t="s">
        <v>235</v>
      </c>
      <c r="I17" s="118">
        <v>6000000</v>
      </c>
      <c r="J17" s="118">
        <f t="shared" si="0"/>
        <v>6000000</v>
      </c>
      <c r="L17" s="1195" t="s">
        <v>719</v>
      </c>
      <c r="M17" s="1195">
        <v>200</v>
      </c>
      <c r="N17" s="1165">
        <v>3000</v>
      </c>
      <c r="O17" s="1165">
        <f t="shared" ref="O17:O34" si="1">N17*M17</f>
        <v>600000</v>
      </c>
      <c r="P17" s="135"/>
      <c r="Q17" s="135"/>
      <c r="R17" s="135"/>
      <c r="S17" s="135"/>
    </row>
    <row r="18" spans="1:19" ht="14.1" customHeight="1" x14ac:dyDescent="0.2">
      <c r="A18" s="99"/>
      <c r="B18" s="100"/>
      <c r="C18" s="109" t="s">
        <v>125</v>
      </c>
      <c r="D18" s="217" t="s">
        <v>455</v>
      </c>
      <c r="E18" s="217" t="s">
        <v>50</v>
      </c>
      <c r="F18" s="218"/>
      <c r="G18" s="116">
        <v>1</v>
      </c>
      <c r="H18" s="117" t="s">
        <v>235</v>
      </c>
      <c r="I18" s="118">
        <v>3000000</v>
      </c>
      <c r="J18" s="118">
        <f t="shared" si="0"/>
        <v>3000000</v>
      </c>
      <c r="L18" s="1195" t="s">
        <v>512</v>
      </c>
      <c r="M18" s="1195">
        <v>200</v>
      </c>
      <c r="N18" s="1165">
        <v>2000</v>
      </c>
      <c r="O18" s="1165">
        <f t="shared" si="1"/>
        <v>400000</v>
      </c>
      <c r="P18" s="135"/>
      <c r="Q18" s="135"/>
      <c r="R18" s="135"/>
      <c r="S18" s="135"/>
    </row>
    <row r="19" spans="1:19" ht="14.1" customHeight="1" x14ac:dyDescent="0.2">
      <c r="A19" s="99"/>
      <c r="B19" s="100"/>
      <c r="C19" s="109" t="s">
        <v>126</v>
      </c>
      <c r="D19" s="217" t="s">
        <v>456</v>
      </c>
      <c r="E19" s="217" t="s">
        <v>50</v>
      </c>
      <c r="F19" s="218"/>
      <c r="G19" s="116">
        <v>1</v>
      </c>
      <c r="H19" s="117" t="s">
        <v>235</v>
      </c>
      <c r="I19" s="118">
        <v>2000000</v>
      </c>
      <c r="J19" s="118">
        <f t="shared" si="0"/>
        <v>2000000</v>
      </c>
      <c r="L19" s="1195" t="s">
        <v>720</v>
      </c>
      <c r="M19" s="1195">
        <v>20</v>
      </c>
      <c r="N19" s="1165">
        <v>10000</v>
      </c>
      <c r="O19" s="1165">
        <f t="shared" si="1"/>
        <v>200000</v>
      </c>
      <c r="P19" s="135"/>
      <c r="Q19" s="135"/>
      <c r="R19" s="135"/>
      <c r="S19" s="135"/>
    </row>
    <row r="20" spans="1:19" ht="14.1" customHeight="1" x14ac:dyDescent="0.2">
      <c r="A20" s="99"/>
      <c r="B20" s="100"/>
      <c r="C20" s="109" t="s">
        <v>127</v>
      </c>
      <c r="D20" s="217" t="s">
        <v>461</v>
      </c>
      <c r="E20" s="217" t="s">
        <v>50</v>
      </c>
      <c r="F20" s="218"/>
      <c r="G20" s="116">
        <v>1</v>
      </c>
      <c r="H20" s="117" t="s">
        <v>315</v>
      </c>
      <c r="I20" s="118">
        <v>2500000</v>
      </c>
      <c r="J20" s="118">
        <f t="shared" si="0"/>
        <v>2500000</v>
      </c>
      <c r="L20" s="1195" t="s">
        <v>721</v>
      </c>
      <c r="M20" s="1195">
        <v>200</v>
      </c>
      <c r="N20" s="1165">
        <v>2000</v>
      </c>
      <c r="O20" s="1165">
        <f t="shared" si="1"/>
        <v>400000</v>
      </c>
      <c r="P20" s="135"/>
      <c r="Q20" s="135"/>
      <c r="R20" s="135"/>
      <c r="S20" s="135"/>
    </row>
    <row r="21" spans="1:19" ht="14.1" customHeight="1" x14ac:dyDescent="0.2">
      <c r="A21" s="99"/>
      <c r="B21" s="100"/>
      <c r="C21" s="109" t="s">
        <v>128</v>
      </c>
      <c r="D21" s="217" t="s">
        <v>464</v>
      </c>
      <c r="E21" s="217" t="s">
        <v>50</v>
      </c>
      <c r="F21" s="218"/>
      <c r="G21" s="116">
        <v>1000</v>
      </c>
      <c r="H21" s="117" t="s">
        <v>318</v>
      </c>
      <c r="I21" s="118">
        <v>7000</v>
      </c>
      <c r="J21" s="118">
        <f t="shared" si="0"/>
        <v>7000000</v>
      </c>
      <c r="L21" s="1195" t="s">
        <v>722</v>
      </c>
      <c r="M21" s="1195">
        <v>200</v>
      </c>
      <c r="N21" s="1165">
        <v>1000</v>
      </c>
      <c r="O21" s="1165">
        <f t="shared" si="1"/>
        <v>200000</v>
      </c>
      <c r="P21" s="135"/>
      <c r="Q21" s="135"/>
      <c r="R21" s="135"/>
      <c r="S21" s="135"/>
    </row>
    <row r="22" spans="1:19" ht="14.1" customHeight="1" x14ac:dyDescent="0.2">
      <c r="A22" s="99"/>
      <c r="B22" s="100"/>
      <c r="C22" s="109" t="s">
        <v>270</v>
      </c>
      <c r="D22" s="217" t="s">
        <v>457</v>
      </c>
      <c r="E22" s="217" t="s">
        <v>50</v>
      </c>
      <c r="F22" s="218"/>
      <c r="G22" s="116">
        <v>1</v>
      </c>
      <c r="H22" s="117" t="s">
        <v>235</v>
      </c>
      <c r="I22" s="118">
        <v>5000000</v>
      </c>
      <c r="J22" s="118">
        <f t="shared" si="0"/>
        <v>5000000</v>
      </c>
      <c r="L22" s="1195" t="s">
        <v>723</v>
      </c>
      <c r="M22" s="1195">
        <v>2</v>
      </c>
      <c r="N22" s="1165">
        <v>35000</v>
      </c>
      <c r="O22" s="1165">
        <f t="shared" si="1"/>
        <v>70000</v>
      </c>
      <c r="P22" s="135"/>
      <c r="Q22" s="135"/>
      <c r="R22" s="135"/>
      <c r="S22" s="135"/>
    </row>
    <row r="23" spans="1:19" ht="14.1" customHeight="1" x14ac:dyDescent="0.2">
      <c r="A23" s="99"/>
      <c r="B23" s="100"/>
      <c r="C23" s="109" t="s">
        <v>283</v>
      </c>
      <c r="D23" s="217" t="s">
        <v>459</v>
      </c>
      <c r="E23" s="217" t="s">
        <v>50</v>
      </c>
      <c r="F23" s="218"/>
      <c r="G23" s="116">
        <v>80</v>
      </c>
      <c r="H23" s="117" t="s">
        <v>458</v>
      </c>
      <c r="I23" s="118">
        <v>25000</v>
      </c>
      <c r="J23" s="118">
        <f t="shared" si="0"/>
        <v>2000000</v>
      </c>
      <c r="L23" s="1195" t="s">
        <v>724</v>
      </c>
      <c r="M23" s="1195">
        <v>4</v>
      </c>
      <c r="N23" s="1165">
        <v>45000</v>
      </c>
      <c r="O23" s="1165">
        <f t="shared" si="1"/>
        <v>180000</v>
      </c>
      <c r="P23" s="135"/>
      <c r="Q23" s="135"/>
      <c r="R23" s="135"/>
      <c r="S23" s="135"/>
    </row>
    <row r="24" spans="1:19" ht="14.1" customHeight="1" x14ac:dyDescent="0.2">
      <c r="A24" s="99"/>
      <c r="B24" s="100"/>
      <c r="C24" s="109" t="s">
        <v>284</v>
      </c>
      <c r="D24" s="217" t="s">
        <v>465</v>
      </c>
      <c r="E24" s="217" t="s">
        <v>50</v>
      </c>
      <c r="F24" s="218"/>
      <c r="G24" s="116">
        <v>10</v>
      </c>
      <c r="H24" s="117" t="s">
        <v>318</v>
      </c>
      <c r="I24" s="118">
        <v>250000</v>
      </c>
      <c r="J24" s="118">
        <f t="shared" si="0"/>
        <v>2500000</v>
      </c>
      <c r="L24" s="1195" t="s">
        <v>725</v>
      </c>
      <c r="M24" s="1195">
        <v>4</v>
      </c>
      <c r="N24" s="1165">
        <v>45000</v>
      </c>
      <c r="O24" s="1165">
        <f t="shared" si="1"/>
        <v>180000</v>
      </c>
      <c r="P24" s="135"/>
      <c r="Q24" s="135"/>
      <c r="R24" s="135"/>
      <c r="S24" s="135"/>
    </row>
    <row r="25" spans="1:19" ht="14.1" customHeight="1" x14ac:dyDescent="0.2">
      <c r="A25" s="99"/>
      <c r="B25" s="100"/>
      <c r="C25" s="109" t="s">
        <v>285</v>
      </c>
      <c r="D25" s="217" t="s">
        <v>463</v>
      </c>
      <c r="E25" s="217" t="s">
        <v>50</v>
      </c>
      <c r="F25" s="218"/>
      <c r="G25" s="116">
        <v>80</v>
      </c>
      <c r="H25" s="117" t="s">
        <v>458</v>
      </c>
      <c r="I25" s="118">
        <v>25000</v>
      </c>
      <c r="J25" s="118">
        <f t="shared" si="0"/>
        <v>2000000</v>
      </c>
      <c r="L25" s="1195" t="s">
        <v>726</v>
      </c>
      <c r="M25" s="1195">
        <v>5</v>
      </c>
      <c r="N25" s="1165">
        <v>75000</v>
      </c>
      <c r="O25" s="1165">
        <f t="shared" si="1"/>
        <v>375000</v>
      </c>
      <c r="P25" s="135"/>
      <c r="Q25" s="135"/>
      <c r="R25" s="135"/>
      <c r="S25" s="135"/>
    </row>
    <row r="26" spans="1:19" ht="14.1" customHeight="1" x14ac:dyDescent="0.2">
      <c r="A26" s="99"/>
      <c r="B26" s="100"/>
      <c r="C26" s="109" t="s">
        <v>286</v>
      </c>
      <c r="D26" s="217" t="s">
        <v>249</v>
      </c>
      <c r="E26" s="217" t="s">
        <v>50</v>
      </c>
      <c r="F26" s="218"/>
      <c r="G26" s="116">
        <v>1</v>
      </c>
      <c r="H26" s="117" t="s">
        <v>235</v>
      </c>
      <c r="I26" s="118">
        <v>129000</v>
      </c>
      <c r="J26" s="118">
        <f t="shared" si="0"/>
        <v>129000</v>
      </c>
      <c r="L26" s="1195" t="s">
        <v>727</v>
      </c>
      <c r="M26" s="1195">
        <v>10</v>
      </c>
      <c r="N26" s="1165">
        <v>45000</v>
      </c>
      <c r="O26" s="1165">
        <f t="shared" si="1"/>
        <v>450000</v>
      </c>
      <c r="P26" s="135"/>
      <c r="Q26" s="135"/>
      <c r="R26" s="135"/>
      <c r="S26" s="135"/>
    </row>
    <row r="27" spans="1:19" ht="13.5" customHeight="1" x14ac:dyDescent="0.2">
      <c r="A27" s="99"/>
      <c r="B27" s="100"/>
      <c r="C27" s="109" t="s">
        <v>287</v>
      </c>
      <c r="D27" s="102" t="s">
        <v>462</v>
      </c>
      <c r="E27" s="217" t="s">
        <v>50</v>
      </c>
      <c r="F27" s="111"/>
      <c r="G27" s="116">
        <v>1</v>
      </c>
      <c r="H27" s="117" t="s">
        <v>235</v>
      </c>
      <c r="I27" s="118">
        <v>4000000</v>
      </c>
      <c r="J27" s="118">
        <f>I27*G27</f>
        <v>4000000</v>
      </c>
      <c r="L27" s="39" t="s">
        <v>728</v>
      </c>
      <c r="M27" s="39">
        <v>2</v>
      </c>
      <c r="N27" s="1165">
        <v>35000</v>
      </c>
      <c r="O27" s="1165">
        <f t="shared" si="1"/>
        <v>70000</v>
      </c>
    </row>
    <row r="28" spans="1:19" s="79" customFormat="1" ht="20.85" customHeight="1" x14ac:dyDescent="0.2">
      <c r="A28" s="127"/>
      <c r="B28" s="1357" t="s">
        <v>15</v>
      </c>
      <c r="C28" s="1358"/>
      <c r="D28" s="1358"/>
      <c r="E28" s="1358"/>
      <c r="F28" s="80"/>
      <c r="G28" s="1357"/>
      <c r="H28" s="1362"/>
      <c r="I28" s="127"/>
      <c r="J28" s="88">
        <f>J13</f>
        <v>38129000</v>
      </c>
      <c r="L28" s="43" t="s">
        <v>729</v>
      </c>
      <c r="M28" s="43">
        <v>3</v>
      </c>
      <c r="N28" s="1165">
        <v>75000</v>
      </c>
      <c r="O28" s="1165">
        <f t="shared" si="1"/>
        <v>225000</v>
      </c>
    </row>
    <row r="29" spans="1:19" s="79" customFormat="1" ht="9.75" customHeight="1" x14ac:dyDescent="0.2">
      <c r="A29" s="128"/>
      <c r="B29" s="128"/>
      <c r="C29" s="129"/>
      <c r="D29" s="78"/>
      <c r="E29" s="78"/>
      <c r="F29" s="78"/>
      <c r="G29" s="78"/>
      <c r="H29" s="78"/>
      <c r="I29" s="128"/>
      <c r="J29" s="130"/>
      <c r="L29" s="43" t="s">
        <v>730</v>
      </c>
      <c r="M29" s="43">
        <v>1</v>
      </c>
      <c r="N29" s="1165">
        <v>55000</v>
      </c>
      <c r="O29" s="1165">
        <f t="shared" si="1"/>
        <v>55000</v>
      </c>
    </row>
    <row r="30" spans="1:19" s="79" customFormat="1" ht="14.25" customHeight="1" x14ac:dyDescent="0.2">
      <c r="A30" s="131"/>
      <c r="B30" s="131"/>
      <c r="C30" s="109"/>
      <c r="D30" s="132"/>
      <c r="E30" s="132"/>
      <c r="F30" s="132"/>
      <c r="G30" s="1359" t="s">
        <v>1002</v>
      </c>
      <c r="H30" s="1360"/>
      <c r="I30" s="1360"/>
      <c r="J30" s="1360"/>
      <c r="L30" s="43" t="s">
        <v>731</v>
      </c>
      <c r="M30" s="43">
        <v>4</v>
      </c>
      <c r="N30" s="1165">
        <v>35000</v>
      </c>
      <c r="O30" s="1165">
        <f t="shared" si="1"/>
        <v>140000</v>
      </c>
    </row>
    <row r="31" spans="1:19" s="133" customFormat="1" ht="15" customHeight="1" x14ac:dyDescent="0.2">
      <c r="A31" s="1356" t="s">
        <v>11</v>
      </c>
      <c r="B31" s="1356"/>
      <c r="C31" s="1356"/>
      <c r="D31" s="1356"/>
      <c r="E31" s="134"/>
      <c r="F31" s="134"/>
      <c r="G31" s="1356" t="s">
        <v>21</v>
      </c>
      <c r="H31" s="1356"/>
      <c r="I31" s="1356"/>
      <c r="J31" s="1356"/>
      <c r="L31" s="43" t="s">
        <v>732</v>
      </c>
      <c r="M31" s="43">
        <v>4</v>
      </c>
      <c r="N31" s="1165">
        <v>35000</v>
      </c>
      <c r="O31" s="1165">
        <f t="shared" si="1"/>
        <v>140000</v>
      </c>
    </row>
    <row r="32" spans="1:19" x14ac:dyDescent="0.2">
      <c r="L32" s="39" t="s">
        <v>733</v>
      </c>
      <c r="M32" s="39">
        <v>2</v>
      </c>
      <c r="N32" s="1165">
        <v>35000</v>
      </c>
      <c r="O32" s="1165">
        <f t="shared" si="1"/>
        <v>70000</v>
      </c>
    </row>
    <row r="33" spans="1:15" x14ac:dyDescent="0.2">
      <c r="L33" s="39" t="s">
        <v>734</v>
      </c>
      <c r="M33" s="39">
        <v>1</v>
      </c>
      <c r="N33" s="1165">
        <v>30000</v>
      </c>
      <c r="O33" s="1165">
        <f t="shared" si="1"/>
        <v>30000</v>
      </c>
    </row>
    <row r="34" spans="1:15" x14ac:dyDescent="0.2">
      <c r="L34" s="39" t="s">
        <v>735</v>
      </c>
      <c r="M34" s="39">
        <v>5</v>
      </c>
      <c r="N34" s="1165">
        <v>15000</v>
      </c>
      <c r="O34" s="1165">
        <f t="shared" si="1"/>
        <v>75000</v>
      </c>
    </row>
    <row r="35" spans="1:15" s="74" customFormat="1" ht="10.199999999999999" x14ac:dyDescent="0.2">
      <c r="A35" s="1355" t="s">
        <v>1000</v>
      </c>
      <c r="B35" s="1355"/>
      <c r="C35" s="1355"/>
      <c r="D35" s="1355"/>
      <c r="G35" s="1355" t="s">
        <v>199</v>
      </c>
      <c r="H35" s="1355"/>
      <c r="I35" s="1355"/>
      <c r="J35" s="1355"/>
      <c r="L35" s="39"/>
      <c r="M35" s="39"/>
      <c r="N35" s="1165"/>
      <c r="O35" s="1165"/>
    </row>
    <row r="36" spans="1:15" x14ac:dyDescent="0.2">
      <c r="L36" s="39" t="s">
        <v>736</v>
      </c>
      <c r="M36" s="39">
        <v>4</v>
      </c>
      <c r="N36" s="1165">
        <v>35000</v>
      </c>
      <c r="O36" s="1165">
        <f>N36*M36</f>
        <v>140000</v>
      </c>
    </row>
    <row r="37" spans="1:15" x14ac:dyDescent="0.2">
      <c r="N37" s="1165"/>
      <c r="O37" s="1165">
        <f>N37*M37</f>
        <v>0</v>
      </c>
    </row>
    <row r="38" spans="1:15" x14ac:dyDescent="0.2">
      <c r="N38" s="1165"/>
      <c r="O38" s="1165">
        <f>N38*M38</f>
        <v>0</v>
      </c>
    </row>
    <row r="39" spans="1:15" x14ac:dyDescent="0.2">
      <c r="K39" s="72" t="s">
        <v>737</v>
      </c>
      <c r="N39" s="1165"/>
      <c r="O39" s="1165">
        <f>SUM(O40:O46)</f>
        <v>129000</v>
      </c>
    </row>
    <row r="40" spans="1:15" x14ac:dyDescent="0.2">
      <c r="L40" s="39" t="s">
        <v>738</v>
      </c>
      <c r="M40" s="39">
        <v>43</v>
      </c>
      <c r="N40" s="1165">
        <v>3000</v>
      </c>
      <c r="O40" s="1165">
        <f>N40*M40</f>
        <v>129000</v>
      </c>
    </row>
    <row r="41" spans="1:15" x14ac:dyDescent="0.25">
      <c r="O41" s="1195"/>
    </row>
    <row r="42" spans="1:15" x14ac:dyDescent="0.25">
      <c r="O42" s="1195">
        <f>N42*M42</f>
        <v>0</v>
      </c>
    </row>
  </sheetData>
  <mergeCells count="28">
    <mergeCell ref="G12:H12"/>
    <mergeCell ref="G10:J10"/>
    <mergeCell ref="D8:J8"/>
    <mergeCell ref="D7:J7"/>
    <mergeCell ref="L2:N2"/>
    <mergeCell ref="D9:J9"/>
    <mergeCell ref="G11:H11"/>
    <mergeCell ref="A3:J3"/>
    <mergeCell ref="A10:A11"/>
    <mergeCell ref="M4:N4"/>
    <mergeCell ref="D6:J6"/>
    <mergeCell ref="D5:J5"/>
    <mergeCell ref="C15:F15"/>
    <mergeCell ref="M3:N3"/>
    <mergeCell ref="A1:J1"/>
    <mergeCell ref="G35:J35"/>
    <mergeCell ref="B12:F12"/>
    <mergeCell ref="A31:D31"/>
    <mergeCell ref="G30:J30"/>
    <mergeCell ref="G28:H28"/>
    <mergeCell ref="B28:E28"/>
    <mergeCell ref="B14:F14"/>
    <mergeCell ref="B13:F13"/>
    <mergeCell ref="B10:F11"/>
    <mergeCell ref="G31:J31"/>
    <mergeCell ref="A35:D35"/>
    <mergeCell ref="L14:S15"/>
    <mergeCell ref="A2:J2"/>
  </mergeCells>
  <pageMargins left="0.8" right="0.65" top="0.68" bottom="0.75" header="0.3" footer="0.3"/>
  <pageSetup paperSize="14" fitToWidth="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S50"/>
  <sheetViews>
    <sheetView topLeftCell="A29" zoomScale="170" zoomScaleNormal="170" workbookViewId="0">
      <selection activeCell="D42" sqref="D42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1" width="23" style="72" customWidth="1"/>
    <col min="12" max="12" width="12.33203125" style="72" customWidth="1"/>
    <col min="13" max="13" width="19.77734375" style="72" customWidth="1"/>
    <col min="14" max="14" width="11.109375" style="72" bestFit="1" customWidth="1"/>
    <col min="15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133" t="s">
        <v>54</v>
      </c>
      <c r="M3" s="219">
        <f>J15+J17+J22+J25+J37</f>
        <v>147145000</v>
      </c>
      <c r="N3" s="220"/>
    </row>
    <row r="4" spans="1:19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133" t="s">
        <v>50</v>
      </c>
      <c r="M4" s="221">
        <v>0</v>
      </c>
      <c r="N4" s="220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  <c r="L5" s="354" t="s">
        <v>25</v>
      </c>
      <c r="M5" s="222">
        <f>J30+J34+J39</f>
        <v>28050000</v>
      </c>
      <c r="N5" s="167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227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  <c r="M7" s="210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228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J14+J29+J34+J36+J39</f>
        <v>175195000</v>
      </c>
    </row>
    <row r="14" spans="1:19" ht="15.15" customHeight="1" x14ac:dyDescent="0.25">
      <c r="A14" s="89" t="s">
        <v>229</v>
      </c>
      <c r="B14" s="1371" t="s">
        <v>230</v>
      </c>
      <c r="C14" s="1372"/>
      <c r="D14" s="1372"/>
      <c r="E14" s="92"/>
      <c r="F14" s="93"/>
      <c r="G14" s="94"/>
      <c r="H14" s="95"/>
      <c r="I14" s="96"/>
      <c r="J14" s="97">
        <f>J15+J17+J22+J25</f>
        <v>124645000</v>
      </c>
      <c r="R14" s="223"/>
      <c r="S14" s="223"/>
    </row>
    <row r="15" spans="1:19" ht="14.1" customHeight="1" x14ac:dyDescent="0.25">
      <c r="A15" s="99" t="s">
        <v>740</v>
      </c>
      <c r="B15" s="100"/>
      <c r="C15" s="1372" t="s">
        <v>739</v>
      </c>
      <c r="D15" s="1372"/>
      <c r="E15" s="102"/>
      <c r="F15" s="103"/>
      <c r="G15" s="887"/>
      <c r="H15" s="888"/>
      <c r="I15" s="889"/>
      <c r="J15" s="890">
        <f>SUM(J16:J16)</f>
        <v>3400000</v>
      </c>
      <c r="L15" s="1431"/>
      <c r="M15" s="1431"/>
      <c r="N15" s="1431"/>
      <c r="O15" s="1431"/>
      <c r="P15" s="1431"/>
      <c r="Q15" s="1431"/>
      <c r="R15" s="1431"/>
      <c r="S15" s="223"/>
    </row>
    <row r="16" spans="1:19" ht="14.1" customHeight="1" x14ac:dyDescent="0.25">
      <c r="A16" s="99"/>
      <c r="B16" s="100"/>
      <c r="C16" s="323" t="s">
        <v>123</v>
      </c>
      <c r="D16" s="101" t="s">
        <v>1049</v>
      </c>
      <c r="E16" s="110" t="s">
        <v>54</v>
      </c>
      <c r="F16" s="111"/>
      <c r="G16" s="116">
        <v>2</v>
      </c>
      <c r="H16" s="117" t="s">
        <v>318</v>
      </c>
      <c r="I16" s="118">
        <v>1700000</v>
      </c>
      <c r="J16" s="118">
        <f>I16*G16</f>
        <v>3400000</v>
      </c>
      <c r="L16" s="1431"/>
      <c r="M16" s="1431"/>
      <c r="N16" s="1431"/>
      <c r="O16" s="1431"/>
      <c r="P16" s="1431"/>
      <c r="Q16" s="1431"/>
      <c r="R16" s="1431"/>
      <c r="S16" s="223"/>
    </row>
    <row r="17" spans="1:19" ht="14.1" customHeight="1" x14ac:dyDescent="0.25">
      <c r="A17" s="99" t="s">
        <v>741</v>
      </c>
      <c r="B17" s="100"/>
      <c r="C17" s="1372" t="s">
        <v>744</v>
      </c>
      <c r="D17" s="1372"/>
      <c r="E17" s="102"/>
      <c r="F17" s="103"/>
      <c r="G17" s="887"/>
      <c r="H17" s="888"/>
      <c r="I17" s="889"/>
      <c r="J17" s="890">
        <f>SUM(J18:J21)</f>
        <v>1530000</v>
      </c>
      <c r="L17" s="1431"/>
      <c r="M17" s="1431"/>
      <c r="N17" s="1431"/>
      <c r="O17" s="1431"/>
      <c r="P17" s="1431"/>
      <c r="Q17" s="1431"/>
      <c r="R17" s="1431"/>
      <c r="S17" s="223"/>
    </row>
    <row r="18" spans="1:19" ht="14.1" customHeight="1" x14ac:dyDescent="0.25">
      <c r="A18" s="99"/>
      <c r="B18" s="100"/>
      <c r="C18" s="323" t="s">
        <v>123</v>
      </c>
      <c r="D18" s="102" t="s">
        <v>701</v>
      </c>
      <c r="E18" s="110" t="s">
        <v>54</v>
      </c>
      <c r="F18" s="111"/>
      <c r="G18" s="116">
        <v>50</v>
      </c>
      <c r="H18" s="117" t="s">
        <v>700</v>
      </c>
      <c r="I18" s="118">
        <v>25000</v>
      </c>
      <c r="J18" s="118">
        <f t="shared" ref="J18:J21" si="0">I18*G18</f>
        <v>1250000</v>
      </c>
      <c r="L18" s="1431"/>
      <c r="M18" s="1431"/>
      <c r="N18" s="1431"/>
      <c r="O18" s="1431"/>
      <c r="P18" s="1431"/>
      <c r="Q18" s="1431"/>
      <c r="R18" s="1431"/>
      <c r="S18" s="223"/>
    </row>
    <row r="19" spans="1:19" ht="14.1" customHeight="1" x14ac:dyDescent="0.25">
      <c r="A19" s="99"/>
      <c r="B19" s="100"/>
      <c r="C19" s="323" t="s">
        <v>124</v>
      </c>
      <c r="D19" s="102" t="s">
        <v>507</v>
      </c>
      <c r="E19" s="110" t="s">
        <v>54</v>
      </c>
      <c r="F19" s="111"/>
      <c r="G19" s="116">
        <v>2</v>
      </c>
      <c r="H19" s="117" t="s">
        <v>318</v>
      </c>
      <c r="I19" s="118">
        <v>40000</v>
      </c>
      <c r="J19" s="118">
        <f t="shared" si="0"/>
        <v>80000</v>
      </c>
      <c r="L19" s="1431"/>
      <c r="M19" s="1431"/>
      <c r="N19" s="1431"/>
      <c r="O19" s="1431"/>
      <c r="P19" s="1431"/>
      <c r="Q19" s="1431"/>
      <c r="R19" s="1431"/>
      <c r="S19" s="223"/>
    </row>
    <row r="20" spans="1:19" ht="14.1" customHeight="1" x14ac:dyDescent="0.25">
      <c r="A20" s="99"/>
      <c r="B20" s="100"/>
      <c r="C20" s="323" t="s">
        <v>125</v>
      </c>
      <c r="D20" s="102" t="s">
        <v>509</v>
      </c>
      <c r="E20" s="110" t="s">
        <v>54</v>
      </c>
      <c r="F20" s="111"/>
      <c r="G20" s="116">
        <v>2</v>
      </c>
      <c r="H20" s="117" t="s">
        <v>318</v>
      </c>
      <c r="I20" s="118">
        <v>30000</v>
      </c>
      <c r="J20" s="118">
        <f t="shared" si="0"/>
        <v>60000</v>
      </c>
      <c r="L20" s="1431"/>
      <c r="M20" s="1431"/>
      <c r="N20" s="1431"/>
      <c r="O20" s="1431"/>
      <c r="P20" s="1431"/>
      <c r="Q20" s="1431"/>
      <c r="R20" s="1431"/>
      <c r="S20" s="223"/>
    </row>
    <row r="21" spans="1:19" ht="14.1" customHeight="1" x14ac:dyDescent="0.25">
      <c r="A21" s="99"/>
      <c r="B21" s="100"/>
      <c r="C21" s="323" t="s">
        <v>126</v>
      </c>
      <c r="D21" s="102" t="s">
        <v>508</v>
      </c>
      <c r="E21" s="110" t="s">
        <v>54</v>
      </c>
      <c r="F21" s="111"/>
      <c r="G21" s="182">
        <v>2</v>
      </c>
      <c r="H21" s="204" t="s">
        <v>318</v>
      </c>
      <c r="I21" s="205">
        <v>70000</v>
      </c>
      <c r="J21" s="205">
        <f t="shared" si="0"/>
        <v>140000</v>
      </c>
      <c r="L21" s="1431"/>
      <c r="M21" s="1431"/>
      <c r="N21" s="1431"/>
      <c r="O21" s="1431"/>
      <c r="P21" s="1431"/>
      <c r="Q21" s="1431"/>
      <c r="R21" s="1431"/>
      <c r="S21" s="223"/>
    </row>
    <row r="22" spans="1:19" ht="14.1" customHeight="1" x14ac:dyDescent="0.25">
      <c r="A22" s="99" t="s">
        <v>742</v>
      </c>
      <c r="B22" s="100"/>
      <c r="C22" s="1372" t="s">
        <v>746</v>
      </c>
      <c r="D22" s="1372"/>
      <c r="E22" s="102"/>
      <c r="F22" s="103"/>
      <c r="G22" s="104"/>
      <c r="H22" s="95"/>
      <c r="I22" s="96"/>
      <c r="J22" s="350">
        <f>SUM(J23:J24)</f>
        <v>116765000</v>
      </c>
      <c r="L22" s="1431"/>
      <c r="M22" s="1431"/>
      <c r="N22" s="1431"/>
      <c r="O22" s="1431"/>
      <c r="P22" s="1431"/>
      <c r="Q22" s="1431"/>
      <c r="R22" s="1431"/>
      <c r="S22" s="223"/>
    </row>
    <row r="23" spans="1:19" ht="14.1" customHeight="1" x14ac:dyDescent="0.25">
      <c r="A23" s="99"/>
      <c r="B23" s="100"/>
      <c r="C23" s="323" t="s">
        <v>123</v>
      </c>
      <c r="D23" s="101" t="s">
        <v>900</v>
      </c>
      <c r="E23" s="110" t="s">
        <v>54</v>
      </c>
      <c r="F23" s="103"/>
      <c r="G23" s="116">
        <v>1</v>
      </c>
      <c r="H23" s="185" t="s">
        <v>315</v>
      </c>
      <c r="I23" s="118">
        <v>110250000</v>
      </c>
      <c r="J23" s="118">
        <f>I23*G23</f>
        <v>110250000</v>
      </c>
      <c r="L23" s="1431"/>
      <c r="M23" s="1431"/>
      <c r="N23" s="1431"/>
      <c r="O23" s="1431"/>
      <c r="P23" s="1431"/>
      <c r="Q23" s="1431"/>
      <c r="R23" s="1431"/>
      <c r="S23" s="223"/>
    </row>
    <row r="24" spans="1:19" ht="14.1" customHeight="1" x14ac:dyDescent="0.25">
      <c r="A24" s="99"/>
      <c r="B24" s="100"/>
      <c r="C24" s="323" t="s">
        <v>124</v>
      </c>
      <c r="D24" s="101" t="s">
        <v>904</v>
      </c>
      <c r="E24" s="110" t="s">
        <v>54</v>
      </c>
      <c r="F24" s="103"/>
      <c r="G24" s="182">
        <v>1</v>
      </c>
      <c r="H24" s="886" t="s">
        <v>235</v>
      </c>
      <c r="I24" s="205">
        <v>6515000</v>
      </c>
      <c r="J24" s="205">
        <f>I24*G24</f>
        <v>6515000</v>
      </c>
      <c r="L24" s="1431"/>
      <c r="M24" s="1431"/>
      <c r="N24" s="1431"/>
      <c r="O24" s="1431"/>
      <c r="P24" s="1431"/>
      <c r="Q24" s="1431"/>
      <c r="R24" s="1431"/>
      <c r="S24" s="223"/>
    </row>
    <row r="25" spans="1:19" ht="14.1" customHeight="1" x14ac:dyDescent="0.25">
      <c r="A25" s="99" t="s">
        <v>743</v>
      </c>
      <c r="B25" s="100"/>
      <c r="C25" s="1372" t="s">
        <v>745</v>
      </c>
      <c r="D25" s="1372"/>
      <c r="E25" s="102"/>
      <c r="F25" s="103"/>
      <c r="G25" s="104"/>
      <c r="H25" s="95"/>
      <c r="I25" s="96"/>
      <c r="J25" s="350">
        <f>SUM(J26:J28)</f>
        <v>2950000</v>
      </c>
      <c r="L25" s="1431"/>
      <c r="M25" s="1431"/>
      <c r="N25" s="1431"/>
      <c r="O25" s="1431"/>
      <c r="P25" s="1431"/>
      <c r="Q25" s="1431"/>
      <c r="R25" s="1431"/>
      <c r="S25" s="223"/>
    </row>
    <row r="26" spans="1:19" ht="14.1" customHeight="1" x14ac:dyDescent="0.25">
      <c r="A26" s="99"/>
      <c r="B26" s="100"/>
      <c r="C26" s="323" t="s">
        <v>123</v>
      </c>
      <c r="D26" s="102" t="s">
        <v>905</v>
      </c>
      <c r="E26" s="110" t="s">
        <v>54</v>
      </c>
      <c r="F26" s="111"/>
      <c r="G26" s="116">
        <v>5</v>
      </c>
      <c r="H26" s="117" t="s">
        <v>715</v>
      </c>
      <c r="I26" s="118">
        <v>150000</v>
      </c>
      <c r="J26" s="118">
        <f>I26*G26</f>
        <v>750000</v>
      </c>
      <c r="L26" s="1431"/>
      <c r="M26" s="1431"/>
      <c r="N26" s="1431"/>
      <c r="O26" s="1431"/>
      <c r="P26" s="1431"/>
      <c r="Q26" s="1431"/>
      <c r="R26" s="1431"/>
      <c r="S26" s="223"/>
    </row>
    <row r="27" spans="1:19" ht="14.1" customHeight="1" x14ac:dyDescent="0.25">
      <c r="A27" s="99"/>
      <c r="B27" s="100"/>
      <c r="C27" s="323" t="s">
        <v>124</v>
      </c>
      <c r="D27" s="102" t="s">
        <v>511</v>
      </c>
      <c r="E27" s="110" t="s">
        <v>54</v>
      </c>
      <c r="F27" s="111"/>
      <c r="G27" s="116">
        <v>100</v>
      </c>
      <c r="H27" s="117" t="s">
        <v>318</v>
      </c>
      <c r="I27" s="118">
        <v>17000</v>
      </c>
      <c r="J27" s="118">
        <f>I27*G27</f>
        <v>1700000</v>
      </c>
      <c r="L27" s="1431"/>
      <c r="M27" s="1431"/>
      <c r="N27" s="1431"/>
      <c r="O27" s="1431"/>
      <c r="P27" s="1431"/>
      <c r="Q27" s="1431"/>
      <c r="R27" s="1431"/>
      <c r="S27" s="223"/>
    </row>
    <row r="28" spans="1:19" ht="14.1" customHeight="1" x14ac:dyDescent="0.25">
      <c r="A28" s="99"/>
      <c r="B28" s="100"/>
      <c r="C28" s="323" t="s">
        <v>125</v>
      </c>
      <c r="D28" s="102" t="s">
        <v>512</v>
      </c>
      <c r="E28" s="110" t="s">
        <v>54</v>
      </c>
      <c r="F28" s="111"/>
      <c r="G28" s="182">
        <v>100</v>
      </c>
      <c r="H28" s="204" t="s">
        <v>318</v>
      </c>
      <c r="I28" s="205">
        <v>5000</v>
      </c>
      <c r="J28" s="205">
        <f>I28*G28</f>
        <v>500000</v>
      </c>
      <c r="L28" s="1431"/>
      <c r="M28" s="1431"/>
      <c r="N28" s="1431"/>
      <c r="O28" s="1431"/>
      <c r="P28" s="1431"/>
      <c r="Q28" s="1431"/>
      <c r="R28" s="1431"/>
      <c r="S28" s="223"/>
    </row>
    <row r="29" spans="1:19" ht="14.1" customHeight="1" x14ac:dyDescent="0.25">
      <c r="A29" s="99"/>
      <c r="B29" s="1371" t="s">
        <v>747</v>
      </c>
      <c r="C29" s="1372"/>
      <c r="D29" s="1372"/>
      <c r="E29" s="1372"/>
      <c r="F29" s="103"/>
      <c r="G29" s="104"/>
      <c r="H29" s="95"/>
      <c r="I29" s="96"/>
      <c r="J29" s="350">
        <f>SUM(J30)</f>
        <v>26500000</v>
      </c>
      <c r="L29" s="1431"/>
      <c r="M29" s="1431"/>
      <c r="N29" s="1431"/>
      <c r="O29" s="1431"/>
      <c r="P29" s="1431"/>
      <c r="Q29" s="1431"/>
      <c r="R29" s="1431"/>
      <c r="S29" s="223"/>
    </row>
    <row r="30" spans="1:19" ht="14.1" customHeight="1" x14ac:dyDescent="0.25">
      <c r="A30" s="351" t="s">
        <v>749</v>
      </c>
      <c r="B30" s="90"/>
      <c r="C30" s="1432" t="s">
        <v>748</v>
      </c>
      <c r="D30" s="1372"/>
      <c r="E30" s="91"/>
      <c r="F30" s="103"/>
      <c r="G30" s="887"/>
      <c r="H30" s="888"/>
      <c r="I30" s="889"/>
      <c r="J30" s="890">
        <f>SUM(J31:J32)</f>
        <v>26500000</v>
      </c>
      <c r="L30" s="1431"/>
      <c r="M30" s="1431"/>
      <c r="N30" s="1431"/>
      <c r="O30" s="1431"/>
      <c r="P30" s="1431"/>
      <c r="Q30" s="1431"/>
      <c r="R30" s="1431"/>
      <c r="S30" s="223"/>
    </row>
    <row r="31" spans="1:19" ht="14.1" customHeight="1" x14ac:dyDescent="0.25">
      <c r="A31" s="99"/>
      <c r="B31" s="100"/>
      <c r="C31" s="323" t="s">
        <v>123</v>
      </c>
      <c r="D31" s="101" t="s">
        <v>897</v>
      </c>
      <c r="E31" s="110" t="s">
        <v>25</v>
      </c>
      <c r="F31" s="103"/>
      <c r="G31" s="116">
        <v>2</v>
      </c>
      <c r="H31" s="185" t="s">
        <v>315</v>
      </c>
      <c r="I31" s="118">
        <v>8000000</v>
      </c>
      <c r="J31" s="118">
        <f>I31*G31</f>
        <v>16000000</v>
      </c>
      <c r="L31" s="1431"/>
      <c r="M31" s="1431"/>
      <c r="N31" s="1431"/>
      <c r="O31" s="1431"/>
      <c r="P31" s="1431"/>
      <c r="Q31" s="1431"/>
      <c r="R31" s="1431"/>
      <c r="S31" s="223"/>
    </row>
    <row r="32" spans="1:19" ht="14.1" customHeight="1" x14ac:dyDescent="0.25">
      <c r="A32" s="99"/>
      <c r="B32" s="100"/>
      <c r="C32" s="323" t="s">
        <v>124</v>
      </c>
      <c r="D32" s="101" t="s">
        <v>898</v>
      </c>
      <c r="E32" s="110" t="s">
        <v>25</v>
      </c>
      <c r="F32" s="103"/>
      <c r="G32" s="116">
        <v>3</v>
      </c>
      <c r="H32" s="185" t="s">
        <v>315</v>
      </c>
      <c r="I32" s="118">
        <v>3500000</v>
      </c>
      <c r="J32" s="118">
        <f>I32*G32</f>
        <v>10500000</v>
      </c>
      <c r="L32" s="1431"/>
      <c r="M32" s="1431"/>
      <c r="N32" s="1431"/>
      <c r="O32" s="1431"/>
      <c r="P32" s="1431"/>
      <c r="Q32" s="1431"/>
      <c r="R32" s="1431"/>
      <c r="S32" s="223"/>
    </row>
    <row r="33" spans="1:19" ht="14.1" customHeight="1" x14ac:dyDescent="0.25">
      <c r="A33" s="99"/>
      <c r="B33" s="1433" t="s">
        <v>750</v>
      </c>
      <c r="C33" s="1372"/>
      <c r="D33" s="1372"/>
      <c r="E33" s="1372"/>
      <c r="F33" s="103"/>
      <c r="G33" s="104"/>
      <c r="H33" s="95"/>
      <c r="I33" s="96"/>
      <c r="J33" s="118"/>
      <c r="L33" s="1431"/>
      <c r="M33" s="1431"/>
      <c r="N33" s="1431"/>
      <c r="O33" s="1431"/>
      <c r="P33" s="1431"/>
      <c r="Q33" s="1431"/>
      <c r="R33" s="1431"/>
      <c r="S33" s="223"/>
    </row>
    <row r="34" spans="1:19" ht="14.1" customHeight="1" x14ac:dyDescent="0.25">
      <c r="A34" s="351" t="s">
        <v>752</v>
      </c>
      <c r="B34" s="90"/>
      <c r="C34" s="1432" t="s">
        <v>751</v>
      </c>
      <c r="D34" s="1372"/>
      <c r="E34" s="91"/>
      <c r="F34" s="103"/>
      <c r="G34" s="887"/>
      <c r="H34" s="888"/>
      <c r="I34" s="889"/>
      <c r="J34" s="890">
        <f>SUM(J35:J35)</f>
        <v>600000</v>
      </c>
      <c r="L34" s="1431"/>
      <c r="M34" s="1431"/>
      <c r="N34" s="1431"/>
      <c r="O34" s="1431"/>
      <c r="P34" s="1431"/>
      <c r="Q34" s="1431"/>
      <c r="R34" s="1431"/>
      <c r="S34" s="223"/>
    </row>
    <row r="35" spans="1:19" ht="14.1" customHeight="1" x14ac:dyDescent="0.25">
      <c r="A35" s="99"/>
      <c r="B35" s="100"/>
      <c r="C35" s="323" t="s">
        <v>123</v>
      </c>
      <c r="D35" s="102" t="s">
        <v>903</v>
      </c>
      <c r="E35" s="110" t="s">
        <v>25</v>
      </c>
      <c r="F35" s="111"/>
      <c r="G35" s="116">
        <v>2</v>
      </c>
      <c r="H35" s="117" t="s">
        <v>315</v>
      </c>
      <c r="I35" s="118">
        <v>300000</v>
      </c>
      <c r="J35" s="118">
        <f t="shared" ref="J35" si="1">I35*G35</f>
        <v>600000</v>
      </c>
      <c r="L35" s="1431"/>
      <c r="M35" s="1431"/>
      <c r="N35" s="1431"/>
      <c r="O35" s="1431"/>
      <c r="P35" s="1431"/>
      <c r="Q35" s="1431"/>
      <c r="R35" s="1431"/>
      <c r="S35" s="223"/>
    </row>
    <row r="36" spans="1:19" ht="14.1" customHeight="1" x14ac:dyDescent="0.25">
      <c r="A36" s="99"/>
      <c r="B36" s="1433" t="s">
        <v>750</v>
      </c>
      <c r="C36" s="1372"/>
      <c r="D36" s="1372"/>
      <c r="E36" s="1372"/>
      <c r="F36" s="111"/>
      <c r="G36" s="116"/>
      <c r="H36" s="117"/>
      <c r="I36" s="118"/>
      <c r="J36" s="350">
        <f>SUM(J37)</f>
        <v>22500000</v>
      </c>
      <c r="L36" s="1431"/>
      <c r="M36" s="1431"/>
      <c r="N36" s="1431"/>
      <c r="O36" s="1431"/>
      <c r="P36" s="1431"/>
      <c r="Q36" s="1431"/>
      <c r="R36" s="1431"/>
      <c r="S36" s="223"/>
    </row>
    <row r="37" spans="1:19" ht="14.1" customHeight="1" x14ac:dyDescent="0.25">
      <c r="A37" s="351" t="s">
        <v>753</v>
      </c>
      <c r="B37" s="90"/>
      <c r="C37" s="1372" t="s">
        <v>899</v>
      </c>
      <c r="D37" s="1372"/>
      <c r="E37" s="91"/>
      <c r="F37" s="111"/>
      <c r="G37" s="182"/>
      <c r="H37" s="204"/>
      <c r="I37" s="205"/>
      <c r="J37" s="890">
        <f>SUM(J38)</f>
        <v>22500000</v>
      </c>
      <c r="L37" s="1431"/>
      <c r="M37" s="1431"/>
      <c r="N37" s="1431"/>
      <c r="O37" s="1431"/>
      <c r="P37" s="1431"/>
      <c r="Q37" s="1431"/>
      <c r="R37" s="1431"/>
      <c r="S37" s="223"/>
    </row>
    <row r="38" spans="1:19" ht="14.1" customHeight="1" x14ac:dyDescent="0.25">
      <c r="A38" s="99"/>
      <c r="B38" s="100"/>
      <c r="C38" s="323" t="s">
        <v>123</v>
      </c>
      <c r="D38" s="102" t="s">
        <v>896</v>
      </c>
      <c r="E38" s="110" t="s">
        <v>54</v>
      </c>
      <c r="F38" s="111"/>
      <c r="G38" s="116">
        <v>1</v>
      </c>
      <c r="H38" s="117" t="s">
        <v>315</v>
      </c>
      <c r="I38" s="118">
        <v>22500000</v>
      </c>
      <c r="J38" s="118">
        <f>I38*G38</f>
        <v>22500000</v>
      </c>
      <c r="L38" s="1431"/>
      <c r="M38" s="1431"/>
      <c r="N38" s="1431"/>
      <c r="O38" s="1431"/>
      <c r="P38" s="1431"/>
      <c r="Q38" s="1431"/>
      <c r="R38" s="1431"/>
      <c r="S38" s="223"/>
    </row>
    <row r="39" spans="1:19" ht="14.1" customHeight="1" x14ac:dyDescent="0.25">
      <c r="A39" s="99"/>
      <c r="B39" s="1433" t="s">
        <v>230</v>
      </c>
      <c r="C39" s="1372"/>
      <c r="D39" s="1372"/>
      <c r="E39" s="1372"/>
      <c r="F39" s="111"/>
      <c r="G39" s="116"/>
      <c r="H39" s="117"/>
      <c r="I39" s="118"/>
      <c r="J39" s="350">
        <f>J40</f>
        <v>950000</v>
      </c>
      <c r="L39" s="1431"/>
      <c r="M39" s="1431"/>
      <c r="N39" s="1431"/>
      <c r="O39" s="1431"/>
      <c r="P39" s="1431"/>
      <c r="Q39" s="1431"/>
      <c r="R39" s="1431"/>
      <c r="S39" s="223"/>
    </row>
    <row r="40" spans="1:19" ht="14.1" customHeight="1" x14ac:dyDescent="0.25">
      <c r="A40" s="351" t="s">
        <v>740</v>
      </c>
      <c r="B40" s="90"/>
      <c r="C40" s="1432" t="s">
        <v>739</v>
      </c>
      <c r="D40" s="1372"/>
      <c r="E40" s="91"/>
      <c r="F40" s="111"/>
      <c r="G40" s="182"/>
      <c r="H40" s="204"/>
      <c r="I40" s="205"/>
      <c r="J40" s="890">
        <f>SUM(J41:J42)</f>
        <v>950000</v>
      </c>
      <c r="L40" s="1431"/>
      <c r="M40" s="1431"/>
      <c r="N40" s="1431"/>
      <c r="O40" s="1431"/>
      <c r="P40" s="1431"/>
      <c r="Q40" s="1431"/>
      <c r="R40" s="1431"/>
      <c r="S40" s="223"/>
    </row>
    <row r="41" spans="1:19" ht="13.5" customHeight="1" x14ac:dyDescent="0.25">
      <c r="A41" s="99"/>
      <c r="B41" s="108"/>
      <c r="C41" s="109" t="s">
        <v>123</v>
      </c>
      <c r="D41" s="233" t="s">
        <v>901</v>
      </c>
      <c r="E41" s="110" t="s">
        <v>25</v>
      </c>
      <c r="F41" s="111"/>
      <c r="G41" s="116">
        <v>10</v>
      </c>
      <c r="H41" s="117" t="s">
        <v>318</v>
      </c>
      <c r="I41" s="118">
        <v>70000</v>
      </c>
      <c r="J41" s="118">
        <f>I41*G41</f>
        <v>700000</v>
      </c>
      <c r="L41" s="224"/>
      <c r="M41" s="224"/>
      <c r="N41" s="224"/>
      <c r="O41" s="224"/>
      <c r="P41" s="224"/>
      <c r="Q41" s="224"/>
      <c r="R41" s="224"/>
      <c r="S41" s="223"/>
    </row>
    <row r="42" spans="1:19" ht="13.5" customHeight="1" x14ac:dyDescent="0.25">
      <c r="A42" s="99"/>
      <c r="B42" s="108"/>
      <c r="C42" s="109" t="s">
        <v>124</v>
      </c>
      <c r="D42" s="233" t="s">
        <v>902</v>
      </c>
      <c r="E42" s="110" t="s">
        <v>25</v>
      </c>
      <c r="F42" s="110"/>
      <c r="G42" s="116">
        <v>10</v>
      </c>
      <c r="H42" s="117" t="s">
        <v>318</v>
      </c>
      <c r="I42" s="118">
        <v>25000</v>
      </c>
      <c r="J42" s="891">
        <f>I42*G42</f>
        <v>250000</v>
      </c>
      <c r="L42" s="224"/>
      <c r="M42" s="224"/>
      <c r="N42" s="224"/>
      <c r="O42" s="224"/>
      <c r="P42" s="224"/>
      <c r="Q42" s="224"/>
      <c r="R42" s="224"/>
      <c r="S42" s="223"/>
    </row>
    <row r="43" spans="1:19" s="79" customFormat="1" ht="20.85" customHeight="1" x14ac:dyDescent="0.25">
      <c r="A43" s="127"/>
      <c r="B43" s="1357" t="s">
        <v>15</v>
      </c>
      <c r="C43" s="1358"/>
      <c r="D43" s="1358"/>
      <c r="E43" s="1358"/>
      <c r="F43" s="80"/>
      <c r="G43" s="1357"/>
      <c r="H43" s="1362"/>
      <c r="I43" s="127"/>
      <c r="J43" s="88">
        <f>J13</f>
        <v>175195000</v>
      </c>
    </row>
    <row r="44" spans="1:19" s="79" customFormat="1" ht="9.75" customHeight="1" x14ac:dyDescent="0.25">
      <c r="A44" s="128"/>
      <c r="B44" s="128"/>
      <c r="C44" s="129"/>
      <c r="D44" s="78"/>
      <c r="E44" s="78"/>
      <c r="F44" s="78"/>
      <c r="G44" s="78"/>
      <c r="H44" s="78"/>
      <c r="I44" s="128"/>
      <c r="J44" s="130"/>
    </row>
    <row r="45" spans="1:19" s="79" customFormat="1" ht="14.25" customHeight="1" x14ac:dyDescent="0.25">
      <c r="A45" s="131"/>
      <c r="B45" s="131"/>
      <c r="C45" s="109"/>
      <c r="D45" s="132"/>
      <c r="E45" s="132"/>
      <c r="F45" s="132"/>
      <c r="G45" s="1359" t="s">
        <v>1002</v>
      </c>
      <c r="H45" s="1360"/>
      <c r="I45" s="1360"/>
      <c r="J45" s="1360"/>
    </row>
    <row r="46" spans="1:19" s="133" customFormat="1" ht="15" customHeight="1" x14ac:dyDescent="0.25">
      <c r="A46" s="1356" t="s">
        <v>11</v>
      </c>
      <c r="B46" s="1356"/>
      <c r="C46" s="1356"/>
      <c r="D46" s="1356"/>
      <c r="E46" s="134"/>
      <c r="F46" s="134"/>
      <c r="G46" s="1356" t="s">
        <v>21</v>
      </c>
      <c r="H46" s="1356"/>
      <c r="I46" s="1356"/>
      <c r="J46" s="1356"/>
    </row>
    <row r="50" spans="1:10" s="74" customFormat="1" ht="10.199999999999999" x14ac:dyDescent="0.25">
      <c r="A50" s="1355" t="s">
        <v>1000</v>
      </c>
      <c r="B50" s="1355"/>
      <c r="C50" s="1355"/>
      <c r="D50" s="1355"/>
      <c r="G50" s="1355" t="s">
        <v>199</v>
      </c>
      <c r="H50" s="1355"/>
      <c r="I50" s="1355"/>
      <c r="J50" s="1355"/>
    </row>
  </sheetData>
  <autoFilter ref="E1:E51" xr:uid="{00000000-0009-0000-0000-000010000000}">
    <filterColumn colId="0" showButton="0"/>
  </autoFilter>
  <mergeCells count="37">
    <mergeCell ref="B36:E36"/>
    <mergeCell ref="C37:D37"/>
    <mergeCell ref="B39:E39"/>
    <mergeCell ref="C40:D40"/>
    <mergeCell ref="A1:J1"/>
    <mergeCell ref="G12:H12"/>
    <mergeCell ref="G11:H11"/>
    <mergeCell ref="D6:J6"/>
    <mergeCell ref="G10:J10"/>
    <mergeCell ref="D8:J8"/>
    <mergeCell ref="D9:J9"/>
    <mergeCell ref="D5:J5"/>
    <mergeCell ref="A3:J3"/>
    <mergeCell ref="A10:A11"/>
    <mergeCell ref="B43:E43"/>
    <mergeCell ref="G46:J46"/>
    <mergeCell ref="G45:J45"/>
    <mergeCell ref="G43:H43"/>
    <mergeCell ref="G50:J50"/>
    <mergeCell ref="A46:D46"/>
    <mergeCell ref="A50:D50"/>
    <mergeCell ref="L15:R40"/>
    <mergeCell ref="D7:J7"/>
    <mergeCell ref="B10:F11"/>
    <mergeCell ref="L2:N2"/>
    <mergeCell ref="B12:F12"/>
    <mergeCell ref="C15:D15"/>
    <mergeCell ref="B14:D14"/>
    <mergeCell ref="C17:D17"/>
    <mergeCell ref="C22:D22"/>
    <mergeCell ref="C25:D25"/>
    <mergeCell ref="B29:E29"/>
    <mergeCell ref="C30:D30"/>
    <mergeCell ref="B33:E33"/>
    <mergeCell ref="C34:D34"/>
    <mergeCell ref="B13:F13"/>
    <mergeCell ref="A2:J2"/>
  </mergeCells>
  <phoneticPr fontId="63" type="noConversion"/>
  <pageMargins left="0.8" right="0.65" top="0.68" bottom="0.75" header="0.3" footer="0.3"/>
  <pageSetup paperSize="14" fitToWidth="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S40"/>
  <sheetViews>
    <sheetView topLeftCell="A17" zoomScale="180" zoomScaleNormal="180" workbookViewId="0">
      <selection activeCell="D30" sqref="D30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1" width="9.33203125" style="72"/>
    <col min="12" max="12" width="12" style="72" customWidth="1"/>
    <col min="13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54</v>
      </c>
      <c r="M3" s="1366">
        <v>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50</v>
      </c>
      <c r="M4" s="1366">
        <f>J13</f>
        <v>2705000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241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242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2705000</v>
      </c>
      <c r="L13" s="356"/>
    </row>
    <row r="14" spans="1:19" ht="15" customHeight="1" x14ac:dyDescent="0.25">
      <c r="A14" s="225" t="s">
        <v>237</v>
      </c>
      <c r="B14" s="1435" t="s">
        <v>238</v>
      </c>
      <c r="C14" s="1436"/>
      <c r="D14" s="1436"/>
      <c r="E14" s="1436"/>
      <c r="F14" s="1437"/>
      <c r="G14" s="226"/>
      <c r="H14" s="95"/>
      <c r="I14" s="96"/>
      <c r="J14" s="227">
        <f>J15+J25+J22</f>
        <v>2705000</v>
      </c>
    </row>
    <row r="15" spans="1:19" ht="15.15" customHeight="1" x14ac:dyDescent="0.25">
      <c r="A15" s="89" t="s">
        <v>208</v>
      </c>
      <c r="B15" s="1433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975000</v>
      </c>
      <c r="L15" s="1387" t="s">
        <v>346</v>
      </c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 t="s">
        <v>19</v>
      </c>
      <c r="B16" s="100"/>
      <c r="C16" s="1361" t="s">
        <v>209</v>
      </c>
      <c r="D16" s="1361"/>
      <c r="E16" s="102"/>
      <c r="F16" s="103"/>
      <c r="G16" s="887"/>
      <c r="H16" s="888"/>
      <c r="I16" s="889"/>
      <c r="J16" s="205">
        <f>SUM(J17:J21)</f>
        <v>975000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4.1" customHeight="1" x14ac:dyDescent="0.25">
      <c r="A17" s="99"/>
      <c r="B17" s="100"/>
      <c r="C17" s="109" t="s">
        <v>123</v>
      </c>
      <c r="D17" s="101" t="s">
        <v>473</v>
      </c>
      <c r="E17" s="110" t="s">
        <v>50</v>
      </c>
      <c r="F17" s="103"/>
      <c r="G17" s="104">
        <v>1</v>
      </c>
      <c r="H17" s="117" t="s">
        <v>501</v>
      </c>
      <c r="I17" s="118">
        <v>30000</v>
      </c>
      <c r="J17" s="118">
        <f>I17*G17</f>
        <v>30000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ht="14.1" customHeight="1" x14ac:dyDescent="0.25">
      <c r="A18" s="99"/>
      <c r="B18" s="100"/>
      <c r="C18" s="109" t="s">
        <v>124</v>
      </c>
      <c r="D18" s="101" t="s">
        <v>469</v>
      </c>
      <c r="E18" s="110" t="s">
        <v>50</v>
      </c>
      <c r="F18" s="103"/>
      <c r="G18" s="104">
        <v>1</v>
      </c>
      <c r="H18" s="117" t="s">
        <v>683</v>
      </c>
      <c r="I18" s="118">
        <v>65000</v>
      </c>
      <c r="J18" s="118">
        <f>I18*G18</f>
        <v>65000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ht="14.1" customHeight="1" x14ac:dyDescent="0.25">
      <c r="A19" s="99"/>
      <c r="B19" s="100"/>
      <c r="C19" s="109" t="s">
        <v>125</v>
      </c>
      <c r="D19" s="101" t="s">
        <v>514</v>
      </c>
      <c r="E19" s="110" t="s">
        <v>50</v>
      </c>
      <c r="F19" s="103"/>
      <c r="G19" s="104">
        <v>4</v>
      </c>
      <c r="H19" s="117" t="s">
        <v>318</v>
      </c>
      <c r="I19" s="118">
        <v>35000</v>
      </c>
      <c r="J19" s="118">
        <f>I19*G19</f>
        <v>140000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ht="14.1" customHeight="1" x14ac:dyDescent="0.25">
      <c r="A20" s="99"/>
      <c r="B20" s="100"/>
      <c r="C20" s="109" t="s">
        <v>126</v>
      </c>
      <c r="D20" s="101" t="s">
        <v>515</v>
      </c>
      <c r="E20" s="110" t="s">
        <v>50</v>
      </c>
      <c r="F20" s="103"/>
      <c r="G20" s="104">
        <v>1</v>
      </c>
      <c r="H20" s="117" t="s">
        <v>318</v>
      </c>
      <c r="I20" s="118">
        <v>500000</v>
      </c>
      <c r="J20" s="118">
        <f>I20*G20</f>
        <v>500000</v>
      </c>
      <c r="L20" s="1387"/>
      <c r="M20" s="1387"/>
      <c r="N20" s="1387"/>
      <c r="O20" s="1387"/>
      <c r="P20" s="1387"/>
      <c r="Q20" s="1387"/>
      <c r="R20" s="1387"/>
      <c r="S20" s="1387"/>
    </row>
    <row r="21" spans="1:19" ht="13.5" customHeight="1" x14ac:dyDescent="0.25">
      <c r="A21" s="107"/>
      <c r="B21" s="108"/>
      <c r="C21" s="109" t="s">
        <v>127</v>
      </c>
      <c r="D21" s="352" t="s">
        <v>760</v>
      </c>
      <c r="E21" s="110" t="s">
        <v>50</v>
      </c>
      <c r="F21" s="111"/>
      <c r="G21" s="104">
        <v>2</v>
      </c>
      <c r="H21" s="117" t="s">
        <v>318</v>
      </c>
      <c r="I21" s="118">
        <v>120000</v>
      </c>
      <c r="J21" s="118">
        <f>I21*G21</f>
        <v>240000</v>
      </c>
      <c r="L21" s="1387"/>
      <c r="M21" s="1387"/>
      <c r="N21" s="1387"/>
      <c r="O21" s="1387"/>
      <c r="P21" s="1387"/>
      <c r="Q21" s="1387"/>
      <c r="R21" s="1387"/>
      <c r="S21" s="1387"/>
    </row>
    <row r="22" spans="1:19" ht="14.1" customHeight="1" x14ac:dyDescent="0.25">
      <c r="A22" s="99"/>
      <c r="B22" s="1433" t="s">
        <v>761</v>
      </c>
      <c r="C22" s="1372"/>
      <c r="D22" s="1372"/>
      <c r="E22" s="110"/>
      <c r="F22" s="111"/>
      <c r="G22" s="116"/>
      <c r="H22" s="117"/>
      <c r="I22" s="118"/>
      <c r="J22" s="97">
        <f>J23</f>
        <v>280000</v>
      </c>
      <c r="L22" s="98"/>
      <c r="M22" s="98"/>
      <c r="N22" s="98"/>
      <c r="O22" s="98"/>
      <c r="P22" s="98"/>
      <c r="Q22" s="98"/>
      <c r="R22" s="98"/>
      <c r="S22" s="98"/>
    </row>
    <row r="23" spans="1:19" ht="14.1" customHeight="1" x14ac:dyDescent="0.25">
      <c r="A23" s="99"/>
      <c r="B23" s="100"/>
      <c r="C23" s="1434" t="s">
        <v>762</v>
      </c>
      <c r="D23" s="1361"/>
      <c r="E23" s="110"/>
      <c r="F23" s="111"/>
      <c r="G23" s="182"/>
      <c r="H23" s="204"/>
      <c r="I23" s="205"/>
      <c r="J23" s="205">
        <f>SUM(J24:J24)</f>
        <v>280000</v>
      </c>
      <c r="L23" s="98"/>
      <c r="M23" s="98"/>
      <c r="N23" s="98"/>
      <c r="O23" s="98"/>
      <c r="P23" s="98"/>
      <c r="Q23" s="98"/>
      <c r="R23" s="98"/>
      <c r="S23" s="98"/>
    </row>
    <row r="24" spans="1:19" ht="14.1" customHeight="1" x14ac:dyDescent="0.25">
      <c r="A24" s="99"/>
      <c r="B24" s="100"/>
      <c r="C24" s="109" t="s">
        <v>123</v>
      </c>
      <c r="D24" s="352" t="s">
        <v>763</v>
      </c>
      <c r="E24" s="110" t="s">
        <v>50</v>
      </c>
      <c r="F24" s="111"/>
      <c r="G24" s="116">
        <v>40</v>
      </c>
      <c r="H24" s="359" t="s">
        <v>315</v>
      </c>
      <c r="I24" s="118">
        <v>7000</v>
      </c>
      <c r="J24" s="118">
        <f>I24*G24</f>
        <v>280000</v>
      </c>
      <c r="L24" s="98"/>
      <c r="M24" s="98"/>
      <c r="N24" s="98"/>
      <c r="O24" s="98"/>
      <c r="P24" s="98"/>
      <c r="Q24" s="98"/>
      <c r="R24" s="98"/>
      <c r="S24" s="98"/>
    </row>
    <row r="25" spans="1:19" ht="14.1" customHeight="1" x14ac:dyDescent="0.25">
      <c r="A25" s="89" t="s">
        <v>211</v>
      </c>
      <c r="B25" s="1371" t="s">
        <v>216</v>
      </c>
      <c r="C25" s="1372"/>
      <c r="D25" s="1372"/>
      <c r="E25" s="177"/>
      <c r="F25" s="178"/>
      <c r="G25" s="116"/>
      <c r="H25" s="117"/>
      <c r="I25" s="118"/>
      <c r="J25" s="228">
        <f>J26</f>
        <v>1450000</v>
      </c>
      <c r="L25" s="98"/>
      <c r="M25" s="98"/>
      <c r="N25" s="98"/>
      <c r="O25" s="98"/>
      <c r="P25" s="98"/>
      <c r="Q25" s="98"/>
      <c r="R25" s="98"/>
      <c r="S25" s="98"/>
    </row>
    <row r="26" spans="1:19" ht="14.1" customHeight="1" x14ac:dyDescent="0.25">
      <c r="A26" s="99" t="s">
        <v>232</v>
      </c>
      <c r="B26" s="100"/>
      <c r="C26" s="1361" t="s">
        <v>233</v>
      </c>
      <c r="D26" s="1361"/>
      <c r="E26" s="110"/>
      <c r="F26" s="111"/>
      <c r="G26" s="182"/>
      <c r="H26" s="204"/>
      <c r="I26" s="205"/>
      <c r="J26" s="205">
        <f>SUM(J27:J32)</f>
        <v>1450000</v>
      </c>
      <c r="L26" s="1387" t="s">
        <v>1065</v>
      </c>
      <c r="M26" s="1387"/>
      <c r="N26" s="1387"/>
      <c r="O26" s="1387"/>
      <c r="P26" s="1387"/>
      <c r="Q26" s="1387"/>
      <c r="R26" s="1387"/>
      <c r="S26" s="1387"/>
    </row>
    <row r="27" spans="1:19" ht="14.1" customHeight="1" x14ac:dyDescent="0.25">
      <c r="A27" s="99"/>
      <c r="B27" s="100"/>
      <c r="C27" s="109" t="s">
        <v>123</v>
      </c>
      <c r="D27" s="101" t="s">
        <v>239</v>
      </c>
      <c r="E27" s="110" t="s">
        <v>50</v>
      </c>
      <c r="F27" s="111"/>
      <c r="G27" s="116">
        <v>1</v>
      </c>
      <c r="H27" s="117" t="s">
        <v>9</v>
      </c>
      <c r="I27" s="118">
        <v>200000</v>
      </c>
      <c r="J27" s="118">
        <f t="shared" ref="J27:J32" si="0">I27*G27</f>
        <v>200000</v>
      </c>
      <c r="L27" s="1387"/>
      <c r="M27" s="1387"/>
      <c r="N27" s="1387"/>
      <c r="O27" s="1387"/>
      <c r="P27" s="1387"/>
      <c r="Q27" s="1387"/>
      <c r="R27" s="1387"/>
      <c r="S27" s="1387"/>
    </row>
    <row r="28" spans="1:19" ht="14.1" customHeight="1" x14ac:dyDescent="0.25">
      <c r="A28" s="99"/>
      <c r="B28" s="100"/>
      <c r="C28" s="109" t="s">
        <v>124</v>
      </c>
      <c r="D28" s="357" t="s">
        <v>755</v>
      </c>
      <c r="E28" s="110" t="s">
        <v>50</v>
      </c>
      <c r="F28" s="111"/>
      <c r="G28" s="116">
        <v>1</v>
      </c>
      <c r="H28" s="117" t="s">
        <v>9</v>
      </c>
      <c r="I28" s="118">
        <v>150000</v>
      </c>
      <c r="J28" s="118">
        <f t="shared" si="0"/>
        <v>150000</v>
      </c>
      <c r="L28" s="1387"/>
      <c r="M28" s="1387"/>
      <c r="N28" s="1387"/>
      <c r="O28" s="1387"/>
      <c r="P28" s="1387"/>
      <c r="Q28" s="1387"/>
      <c r="R28" s="1387"/>
      <c r="S28" s="1387"/>
    </row>
    <row r="29" spans="1:19" ht="14.1" customHeight="1" x14ac:dyDescent="0.25">
      <c r="A29" s="99"/>
      <c r="B29" s="100"/>
      <c r="C29" s="109" t="s">
        <v>125</v>
      </c>
      <c r="D29" s="357" t="s">
        <v>756</v>
      </c>
      <c r="E29" s="110" t="s">
        <v>50</v>
      </c>
      <c r="F29" s="111"/>
      <c r="G29" s="116">
        <v>3</v>
      </c>
      <c r="H29" s="117" t="s">
        <v>9</v>
      </c>
      <c r="I29" s="118">
        <v>100000</v>
      </c>
      <c r="J29" s="118">
        <f t="shared" si="0"/>
        <v>300000</v>
      </c>
      <c r="L29" s="1387"/>
      <c r="M29" s="1387"/>
      <c r="N29" s="1387"/>
      <c r="O29" s="1387"/>
      <c r="P29" s="1387"/>
      <c r="Q29" s="1387"/>
      <c r="R29" s="1387"/>
      <c r="S29" s="1387"/>
    </row>
    <row r="30" spans="1:19" ht="14.1" customHeight="1" x14ac:dyDescent="0.25">
      <c r="A30" s="99"/>
      <c r="B30" s="100"/>
      <c r="C30" s="109" t="s">
        <v>126</v>
      </c>
      <c r="D30" s="357" t="s">
        <v>757</v>
      </c>
      <c r="E30" s="110" t="s">
        <v>50</v>
      </c>
      <c r="F30" s="111"/>
      <c r="G30" s="116">
        <v>1</v>
      </c>
      <c r="H30" s="117" t="s">
        <v>9</v>
      </c>
      <c r="I30" s="118">
        <v>200000</v>
      </c>
      <c r="J30" s="118">
        <f t="shared" si="0"/>
        <v>200000</v>
      </c>
      <c r="L30" s="135"/>
      <c r="M30" s="135"/>
      <c r="N30" s="135"/>
      <c r="O30" s="135"/>
      <c r="P30" s="135"/>
      <c r="Q30" s="135"/>
      <c r="R30" s="135"/>
      <c r="S30" s="135"/>
    </row>
    <row r="31" spans="1:19" ht="14.1" customHeight="1" x14ac:dyDescent="0.25">
      <c r="A31" s="99"/>
      <c r="B31" s="100"/>
      <c r="C31" s="109" t="s">
        <v>127</v>
      </c>
      <c r="D31" s="357" t="s">
        <v>758</v>
      </c>
      <c r="E31" s="110" t="s">
        <v>50</v>
      </c>
      <c r="F31" s="111"/>
      <c r="G31" s="116">
        <v>1</v>
      </c>
      <c r="H31" s="117" t="s">
        <v>9</v>
      </c>
      <c r="I31" s="118">
        <v>100000</v>
      </c>
      <c r="J31" s="118">
        <f t="shared" si="0"/>
        <v>100000</v>
      </c>
      <c r="L31" s="135"/>
      <c r="M31" s="135"/>
      <c r="N31" s="135"/>
      <c r="O31" s="135"/>
      <c r="P31" s="135"/>
      <c r="Q31" s="135"/>
      <c r="R31" s="135"/>
      <c r="S31" s="135"/>
    </row>
    <row r="32" spans="1:19" ht="14.1" customHeight="1" x14ac:dyDescent="0.25">
      <c r="A32" s="99"/>
      <c r="B32" s="100"/>
      <c r="C32" s="109" t="s">
        <v>128</v>
      </c>
      <c r="D32" s="357" t="s">
        <v>759</v>
      </c>
      <c r="E32" s="110" t="s">
        <v>50</v>
      </c>
      <c r="F32" s="111"/>
      <c r="G32" s="182">
        <v>5</v>
      </c>
      <c r="H32" s="204" t="s">
        <v>9</v>
      </c>
      <c r="I32" s="205">
        <v>100000</v>
      </c>
      <c r="J32" s="205">
        <f t="shared" si="0"/>
        <v>500000</v>
      </c>
      <c r="L32" s="135"/>
      <c r="M32" s="135"/>
      <c r="N32" s="135"/>
      <c r="O32" s="135"/>
      <c r="P32" s="135"/>
      <c r="Q32" s="135"/>
      <c r="R32" s="135"/>
      <c r="S32" s="135"/>
    </row>
    <row r="33" spans="1:10" s="79" customFormat="1" ht="20.85" customHeight="1" x14ac:dyDescent="0.25">
      <c r="A33" s="127"/>
      <c r="B33" s="1357" t="s">
        <v>15</v>
      </c>
      <c r="C33" s="1358"/>
      <c r="D33" s="1358"/>
      <c r="E33" s="1358"/>
      <c r="F33" s="80"/>
      <c r="G33" s="1357"/>
      <c r="H33" s="1362"/>
      <c r="I33" s="127"/>
      <c r="J33" s="88">
        <f>J13</f>
        <v>2705000</v>
      </c>
    </row>
    <row r="34" spans="1:10" s="79" customFormat="1" ht="9.75" customHeight="1" x14ac:dyDescent="0.25">
      <c r="A34" s="128"/>
      <c r="B34" s="128"/>
      <c r="C34" s="129"/>
      <c r="D34" s="78"/>
      <c r="E34" s="78"/>
      <c r="F34" s="78"/>
      <c r="G34" s="78"/>
      <c r="H34" s="78"/>
      <c r="I34" s="128"/>
      <c r="J34" s="130"/>
    </row>
    <row r="35" spans="1:10" s="79" customFormat="1" ht="14.25" customHeight="1" x14ac:dyDescent="0.25">
      <c r="A35" s="131"/>
      <c r="B35" s="131"/>
      <c r="C35" s="109"/>
      <c r="D35" s="132"/>
      <c r="E35" s="132"/>
      <c r="F35" s="132"/>
      <c r="G35" s="1359" t="s">
        <v>1002</v>
      </c>
      <c r="H35" s="1360"/>
      <c r="I35" s="1360"/>
      <c r="J35" s="1360"/>
    </row>
    <row r="36" spans="1:10" s="133" customFormat="1" ht="15" customHeight="1" x14ac:dyDescent="0.25">
      <c r="A36" s="1356" t="s">
        <v>11</v>
      </c>
      <c r="B36" s="1356"/>
      <c r="C36" s="1356"/>
      <c r="D36" s="1356"/>
      <c r="E36" s="134"/>
      <c r="F36" s="134"/>
      <c r="G36" s="1356" t="s">
        <v>21</v>
      </c>
      <c r="H36" s="1356"/>
      <c r="I36" s="1356"/>
      <c r="J36" s="1356"/>
    </row>
    <row r="40" spans="1:10" s="74" customFormat="1" ht="10.199999999999999" x14ac:dyDescent="0.25">
      <c r="A40" s="1355" t="s">
        <v>1000</v>
      </c>
      <c r="B40" s="1355"/>
      <c r="C40" s="1355"/>
      <c r="D40" s="1355"/>
      <c r="G40" s="1355" t="s">
        <v>199</v>
      </c>
      <c r="H40" s="1355"/>
      <c r="I40" s="1355"/>
      <c r="J40" s="1355"/>
    </row>
  </sheetData>
  <mergeCells count="34">
    <mergeCell ref="L2:N2"/>
    <mergeCell ref="C16:D16"/>
    <mergeCell ref="B14:F14"/>
    <mergeCell ref="M3:N3"/>
    <mergeCell ref="B13:F13"/>
    <mergeCell ref="G12:H12"/>
    <mergeCell ref="G10:J10"/>
    <mergeCell ref="D9:J9"/>
    <mergeCell ref="D8:J8"/>
    <mergeCell ref="L15:S21"/>
    <mergeCell ref="M4:N4"/>
    <mergeCell ref="A1:J1"/>
    <mergeCell ref="B15:D15"/>
    <mergeCell ref="A10:A11"/>
    <mergeCell ref="D6:J6"/>
    <mergeCell ref="A3:J3"/>
    <mergeCell ref="D5:J5"/>
    <mergeCell ref="B10:F11"/>
    <mergeCell ref="A2:J2"/>
    <mergeCell ref="G11:H11"/>
    <mergeCell ref="D7:J7"/>
    <mergeCell ref="B12:F12"/>
    <mergeCell ref="C26:D26"/>
    <mergeCell ref="B22:D22"/>
    <mergeCell ref="C23:D23"/>
    <mergeCell ref="G40:J40"/>
    <mergeCell ref="L26:S29"/>
    <mergeCell ref="B25:D25"/>
    <mergeCell ref="G35:J35"/>
    <mergeCell ref="G33:H33"/>
    <mergeCell ref="G36:J36"/>
    <mergeCell ref="B33:E33"/>
    <mergeCell ref="A40:D40"/>
    <mergeCell ref="A36:D36"/>
  </mergeCells>
  <phoneticPr fontId="69" type="noConversion"/>
  <pageMargins left="0.8" right="0.65" top="0.68" bottom="0.75" header="0.3" footer="0.3"/>
  <pageSetup paperSize="14" fitToWidth="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5CD7-06F9-4D99-961A-497CDC75D862}">
  <sheetPr>
    <tabColor rgb="FF92D050"/>
  </sheetPr>
  <dimension ref="A1:S30"/>
  <sheetViews>
    <sheetView topLeftCell="A5" zoomScale="180" zoomScaleNormal="180" workbookViewId="0">
      <selection activeCell="F23" sqref="F23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6.441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1" width="9.33203125" style="72"/>
    <col min="12" max="12" width="12" style="72" customWidth="1"/>
    <col min="13" max="13" width="14.77734375" style="72" customWidth="1"/>
    <col min="14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54</v>
      </c>
      <c r="M3" s="1366">
        <v>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50</v>
      </c>
      <c r="M4" s="220">
        <f>J13</f>
        <v>4430000</v>
      </c>
      <c r="N4" s="220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438" t="s">
        <v>764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438" t="s">
        <v>765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4430000</v>
      </c>
      <c r="L13" s="356"/>
    </row>
    <row r="14" spans="1:19" ht="15" customHeight="1" x14ac:dyDescent="0.25">
      <c r="A14" s="229" t="s">
        <v>231</v>
      </c>
      <c r="B14" s="1439" t="s">
        <v>240</v>
      </c>
      <c r="C14" s="1440"/>
      <c r="D14" s="1440"/>
      <c r="E14" s="1440"/>
      <c r="F14" s="1441"/>
      <c r="G14" s="116"/>
      <c r="H14" s="117"/>
      <c r="I14" s="118"/>
      <c r="J14" s="227">
        <f>J19+J15</f>
        <v>4430000</v>
      </c>
    </row>
    <row r="15" spans="1:19" ht="15.15" customHeight="1" x14ac:dyDescent="0.25">
      <c r="A15" s="229"/>
      <c r="B15" s="1433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180000</v>
      </c>
      <c r="L15" s="1387" t="s">
        <v>346</v>
      </c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229"/>
      <c r="B16" s="100"/>
      <c r="C16" s="1361" t="s">
        <v>209</v>
      </c>
      <c r="D16" s="1361"/>
      <c r="E16" s="102"/>
      <c r="F16" s="103"/>
      <c r="G16" s="887"/>
      <c r="H16" s="888"/>
      <c r="I16" s="889"/>
      <c r="J16" s="106">
        <f>SUM(J17:J18)</f>
        <v>180000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4.1" customHeight="1" x14ac:dyDescent="0.25">
      <c r="A17" s="229"/>
      <c r="B17" s="100"/>
      <c r="C17" s="109" t="s">
        <v>123</v>
      </c>
      <c r="D17" s="357" t="s">
        <v>760</v>
      </c>
      <c r="E17" s="110" t="s">
        <v>50</v>
      </c>
      <c r="F17" s="103"/>
      <c r="G17" s="104">
        <v>1</v>
      </c>
      <c r="H17" s="359" t="s">
        <v>318</v>
      </c>
      <c r="I17" s="118">
        <v>120000</v>
      </c>
      <c r="J17" s="114">
        <f>I17*G17</f>
        <v>120000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ht="14.1" customHeight="1" x14ac:dyDescent="0.25">
      <c r="A18" s="229"/>
      <c r="B18" s="100"/>
      <c r="C18" s="109" t="s">
        <v>124</v>
      </c>
      <c r="D18" s="357" t="s">
        <v>473</v>
      </c>
      <c r="E18" s="110" t="s">
        <v>50</v>
      </c>
      <c r="F18" s="103"/>
      <c r="G18" s="104">
        <v>2</v>
      </c>
      <c r="H18" s="359" t="s">
        <v>501</v>
      </c>
      <c r="I18" s="118">
        <v>30000</v>
      </c>
      <c r="J18" s="118">
        <f>I18*G18</f>
        <v>60000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ht="14.1" customHeight="1" x14ac:dyDescent="0.25">
      <c r="A19" s="89" t="s">
        <v>208</v>
      </c>
      <c r="B19" s="1371" t="s">
        <v>207</v>
      </c>
      <c r="C19" s="1372"/>
      <c r="D19" s="1372"/>
      <c r="E19" s="177"/>
      <c r="F19" s="178"/>
      <c r="G19" s="116"/>
      <c r="H19" s="117"/>
      <c r="I19" s="118"/>
      <c r="J19" s="97">
        <f>J20</f>
        <v>4250000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ht="14.1" customHeight="1" x14ac:dyDescent="0.25">
      <c r="A20" s="99" t="s">
        <v>203</v>
      </c>
      <c r="B20" s="100"/>
      <c r="C20" s="1361" t="s">
        <v>210</v>
      </c>
      <c r="D20" s="1361"/>
      <c r="E20" s="110"/>
      <c r="F20" s="111"/>
      <c r="G20" s="182"/>
      <c r="H20" s="204"/>
      <c r="I20" s="205"/>
      <c r="J20" s="205">
        <f>SUM(J21:J22)</f>
        <v>4250000</v>
      </c>
      <c r="L20" s="1387"/>
      <c r="M20" s="1387"/>
      <c r="N20" s="1387"/>
      <c r="O20" s="1387"/>
      <c r="P20" s="1387"/>
      <c r="Q20" s="1387"/>
      <c r="R20" s="1387"/>
      <c r="S20" s="1387"/>
    </row>
    <row r="21" spans="1:19" ht="13.5" customHeight="1" x14ac:dyDescent="0.25">
      <c r="A21" s="99"/>
      <c r="B21" s="100"/>
      <c r="C21" s="109" t="s">
        <v>123</v>
      </c>
      <c r="D21" s="102" t="s">
        <v>1066</v>
      </c>
      <c r="E21" s="110" t="s">
        <v>50</v>
      </c>
      <c r="F21" s="111"/>
      <c r="G21" s="116">
        <v>85</v>
      </c>
      <c r="H21" s="117" t="s">
        <v>670</v>
      </c>
      <c r="I21" s="118">
        <v>25000</v>
      </c>
      <c r="J21" s="118">
        <f>I21*G21</f>
        <v>2125000</v>
      </c>
      <c r="L21" s="1387"/>
      <c r="M21" s="1387"/>
      <c r="N21" s="1387"/>
      <c r="O21" s="1387"/>
      <c r="P21" s="1387"/>
      <c r="Q21" s="1387"/>
      <c r="R21" s="1387"/>
      <c r="S21" s="1387"/>
    </row>
    <row r="22" spans="1:19" ht="14.1" customHeight="1" x14ac:dyDescent="0.25">
      <c r="A22" s="99"/>
      <c r="B22" s="214"/>
      <c r="C22" s="215" t="s">
        <v>124</v>
      </c>
      <c r="D22" s="355" t="s">
        <v>754</v>
      </c>
      <c r="E22" s="202" t="s">
        <v>50</v>
      </c>
      <c r="F22" s="203"/>
      <c r="G22" s="182">
        <v>85</v>
      </c>
      <c r="H22" s="204" t="s">
        <v>670</v>
      </c>
      <c r="I22" s="205">
        <v>25000</v>
      </c>
      <c r="J22" s="205">
        <f>I22*G22</f>
        <v>2125000</v>
      </c>
      <c r="L22" s="98"/>
      <c r="M22" s="98"/>
      <c r="N22" s="98"/>
      <c r="O22" s="98"/>
      <c r="P22" s="98"/>
      <c r="Q22" s="98"/>
      <c r="R22" s="98"/>
      <c r="S22" s="98"/>
    </row>
    <row r="23" spans="1:19" s="79" customFormat="1" ht="20.85" customHeight="1" x14ac:dyDescent="0.25">
      <c r="A23" s="127"/>
      <c r="B23" s="1357" t="s">
        <v>15</v>
      </c>
      <c r="C23" s="1358"/>
      <c r="D23" s="1358"/>
      <c r="E23" s="1358"/>
      <c r="F23" s="80"/>
      <c r="G23" s="1357"/>
      <c r="H23" s="1362"/>
      <c r="I23" s="127"/>
      <c r="J23" s="88">
        <f>J13</f>
        <v>4430000</v>
      </c>
    </row>
    <row r="24" spans="1:19" s="79" customFormat="1" ht="9.75" customHeight="1" x14ac:dyDescent="0.25">
      <c r="A24" s="128"/>
      <c r="B24" s="128"/>
      <c r="C24" s="129"/>
      <c r="D24" s="78"/>
      <c r="E24" s="78"/>
      <c r="F24" s="78"/>
      <c r="G24" s="78"/>
      <c r="H24" s="78"/>
      <c r="I24" s="128"/>
      <c r="J24" s="130"/>
    </row>
    <row r="25" spans="1:19" s="79" customFormat="1" ht="14.25" customHeight="1" x14ac:dyDescent="0.25">
      <c r="A25" s="131"/>
      <c r="B25" s="131"/>
      <c r="C25" s="109"/>
      <c r="D25" s="132"/>
      <c r="E25" s="132"/>
      <c r="F25" s="132"/>
      <c r="G25" s="1359" t="s">
        <v>1002</v>
      </c>
      <c r="H25" s="1360"/>
      <c r="I25" s="1360"/>
      <c r="J25" s="1360"/>
    </row>
    <row r="26" spans="1:19" s="133" customFormat="1" ht="15" customHeight="1" x14ac:dyDescent="0.25">
      <c r="A26" s="1356" t="s">
        <v>11</v>
      </c>
      <c r="B26" s="1356"/>
      <c r="C26" s="1356"/>
      <c r="D26" s="1356"/>
      <c r="E26" s="134"/>
      <c r="F26" s="134"/>
      <c r="G26" s="1356" t="s">
        <v>21</v>
      </c>
      <c r="H26" s="1356"/>
      <c r="I26" s="1356"/>
      <c r="J26" s="1356"/>
    </row>
    <row r="30" spans="1:19" s="74" customFormat="1" ht="10.199999999999999" x14ac:dyDescent="0.25">
      <c r="A30" s="1355" t="s">
        <v>1000</v>
      </c>
      <c r="B30" s="1355"/>
      <c r="C30" s="1355"/>
      <c r="D30" s="1355"/>
      <c r="G30" s="1355" t="s">
        <v>199</v>
      </c>
      <c r="H30" s="1355"/>
      <c r="I30" s="1355"/>
      <c r="J30" s="1355"/>
    </row>
  </sheetData>
  <mergeCells count="30">
    <mergeCell ref="A30:D30"/>
    <mergeCell ref="G30:J30"/>
    <mergeCell ref="G10:J10"/>
    <mergeCell ref="G11:H11"/>
    <mergeCell ref="G25:J25"/>
    <mergeCell ref="A26:D26"/>
    <mergeCell ref="G26:J26"/>
    <mergeCell ref="B23:E23"/>
    <mergeCell ref="G23:H23"/>
    <mergeCell ref="B12:F12"/>
    <mergeCell ref="G12:H12"/>
    <mergeCell ref="B13:F13"/>
    <mergeCell ref="B14:F14"/>
    <mergeCell ref="B15:D15"/>
    <mergeCell ref="A1:J1"/>
    <mergeCell ref="A2:J2"/>
    <mergeCell ref="L15:S21"/>
    <mergeCell ref="C16:D16"/>
    <mergeCell ref="B19:D19"/>
    <mergeCell ref="D5:J5"/>
    <mergeCell ref="D6:J6"/>
    <mergeCell ref="D7:J7"/>
    <mergeCell ref="D8:J8"/>
    <mergeCell ref="D9:J9"/>
    <mergeCell ref="C20:D20"/>
    <mergeCell ref="L2:N2"/>
    <mergeCell ref="A3:J3"/>
    <mergeCell ref="M3:N3"/>
    <mergeCell ref="A10:A11"/>
    <mergeCell ref="B10:F11"/>
  </mergeCells>
  <phoneticPr fontId="63" type="noConversion"/>
  <pageMargins left="0.8" right="0.65" top="0.68" bottom="0.75" header="0.3" footer="0.3"/>
  <pageSetup paperSize="14" fitToWidth="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S31"/>
  <sheetViews>
    <sheetView zoomScale="150" zoomScaleNormal="150" workbookViewId="0">
      <selection activeCell="J11" sqref="J11"/>
    </sheetView>
  </sheetViews>
  <sheetFormatPr defaultColWidth="9.33203125" defaultRowHeight="13.2" x14ac:dyDescent="0.25"/>
  <cols>
    <col min="1" max="1" width="8.77734375" style="72" customWidth="1"/>
    <col min="2" max="2" width="2.77734375" style="72" customWidth="1"/>
    <col min="3" max="3" width="2.77734375" style="70" customWidth="1"/>
    <col min="4" max="4" width="33.44140625" style="72" customWidth="1"/>
    <col min="5" max="5" width="6.44140625" style="72" customWidth="1"/>
    <col min="6" max="6" width="2" style="72" customWidth="1"/>
    <col min="7" max="7" width="3.6640625" style="72" customWidth="1"/>
    <col min="8" max="8" width="4.44140625" style="72" customWidth="1"/>
    <col min="9" max="9" width="12" style="72" customWidth="1"/>
    <col min="10" max="10" width="13.10937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58</v>
      </c>
      <c r="M3" s="1366">
        <f>J13</f>
        <v>2000000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50</v>
      </c>
      <c r="M4" s="1366">
        <f>0</f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243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245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J15+J21</f>
        <v>2000000</v>
      </c>
    </row>
    <row r="14" spans="1:19" ht="15" customHeight="1" x14ac:dyDescent="0.25">
      <c r="A14" s="225" t="s">
        <v>237</v>
      </c>
      <c r="B14" s="1435" t="s">
        <v>246</v>
      </c>
      <c r="C14" s="1436"/>
      <c r="D14" s="1436"/>
      <c r="E14" s="1436"/>
      <c r="F14" s="1437"/>
      <c r="G14" s="226"/>
      <c r="H14" s="95"/>
      <c r="I14" s="96"/>
      <c r="J14" s="228"/>
    </row>
    <row r="15" spans="1:19" ht="15.15" customHeight="1" x14ac:dyDescent="0.25">
      <c r="A15" s="89" t="s">
        <v>208</v>
      </c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500000</v>
      </c>
    </row>
    <row r="16" spans="1:19" ht="14.1" customHeight="1" x14ac:dyDescent="0.25">
      <c r="A16" s="99" t="s">
        <v>19</v>
      </c>
      <c r="B16" s="100"/>
      <c r="C16" s="1361" t="s">
        <v>209</v>
      </c>
      <c r="D16" s="1361"/>
      <c r="E16" s="102"/>
      <c r="F16" s="103"/>
      <c r="G16" s="887"/>
      <c r="H16" s="888"/>
      <c r="I16" s="889"/>
      <c r="J16" s="205">
        <f>SUM(J17:J20)</f>
        <v>500000</v>
      </c>
      <c r="L16" s="1387" t="s">
        <v>383</v>
      </c>
      <c r="M16" s="1387"/>
      <c r="N16" s="1387"/>
      <c r="O16" s="1387"/>
      <c r="P16" s="1387"/>
      <c r="Q16" s="1387"/>
      <c r="R16" s="1387"/>
      <c r="S16" s="1387"/>
    </row>
    <row r="17" spans="1:19" customFormat="1" x14ac:dyDescent="0.2">
      <c r="A17" s="99"/>
      <c r="B17" s="100"/>
      <c r="C17" s="109" t="s">
        <v>123</v>
      </c>
      <c r="D17" s="101" t="s">
        <v>471</v>
      </c>
      <c r="E17" s="110" t="s">
        <v>58</v>
      </c>
      <c r="F17" s="103"/>
      <c r="G17" s="893">
        <v>2</v>
      </c>
      <c r="H17" s="895" t="s">
        <v>501</v>
      </c>
      <c r="I17" s="1188">
        <v>25000</v>
      </c>
      <c r="J17" s="118">
        <f>I17*G17</f>
        <v>50000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customFormat="1" x14ac:dyDescent="0.2">
      <c r="A18" s="99"/>
      <c r="B18" s="100"/>
      <c r="C18" s="109" t="s">
        <v>124</v>
      </c>
      <c r="D18" s="101" t="s">
        <v>473</v>
      </c>
      <c r="E18" s="110" t="s">
        <v>58</v>
      </c>
      <c r="F18" s="103"/>
      <c r="G18" s="893">
        <v>7</v>
      </c>
      <c r="H18" s="895" t="s">
        <v>501</v>
      </c>
      <c r="I18" s="1188">
        <v>35000</v>
      </c>
      <c r="J18" s="118">
        <f>I18*G18</f>
        <v>245000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customFormat="1" x14ac:dyDescent="0.2">
      <c r="A19" s="99"/>
      <c r="B19" s="100"/>
      <c r="C19" s="109" t="s">
        <v>125</v>
      </c>
      <c r="D19" s="101" t="s">
        <v>469</v>
      </c>
      <c r="E19" s="110" t="s">
        <v>58</v>
      </c>
      <c r="F19" s="103"/>
      <c r="G19" s="893">
        <v>2</v>
      </c>
      <c r="H19" s="895" t="s">
        <v>500</v>
      </c>
      <c r="I19" s="1188">
        <v>65000</v>
      </c>
      <c r="J19" s="118">
        <f>I19*G19</f>
        <v>130000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ht="13.5" customHeight="1" x14ac:dyDescent="0.2">
      <c r="A20" s="107"/>
      <c r="B20" s="200"/>
      <c r="C20" s="215" t="s">
        <v>126</v>
      </c>
      <c r="D20" s="201" t="s">
        <v>713</v>
      </c>
      <c r="E20" s="202" t="s">
        <v>58</v>
      </c>
      <c r="F20" s="203"/>
      <c r="G20" s="896">
        <v>10</v>
      </c>
      <c r="H20" s="897" t="s">
        <v>318</v>
      </c>
      <c r="I20" s="1242">
        <v>7500</v>
      </c>
      <c r="J20" s="205">
        <f>I20*G20</f>
        <v>75000</v>
      </c>
      <c r="L20" s="1387"/>
      <c r="M20" s="1387"/>
      <c r="N20" s="1387"/>
      <c r="O20" s="1387"/>
      <c r="P20" s="1387"/>
      <c r="Q20" s="1387"/>
      <c r="R20" s="1387"/>
      <c r="S20" s="1387"/>
    </row>
    <row r="21" spans="1:19" ht="15.6" customHeight="1" x14ac:dyDescent="0.25">
      <c r="A21" s="89" t="s">
        <v>208</v>
      </c>
      <c r="B21" s="1371" t="s">
        <v>207</v>
      </c>
      <c r="C21" s="1372"/>
      <c r="D21" s="1372"/>
      <c r="E21" s="177"/>
      <c r="F21" s="178"/>
      <c r="G21" s="179"/>
      <c r="H21" s="180"/>
      <c r="I21" s="107"/>
      <c r="J21" s="97">
        <f>J22</f>
        <v>1500000</v>
      </c>
      <c r="L21" s="1387"/>
      <c r="M21" s="1387"/>
      <c r="N21" s="1387"/>
      <c r="O21" s="1387"/>
      <c r="P21" s="1387"/>
      <c r="Q21" s="1387"/>
      <c r="R21" s="1387"/>
      <c r="S21" s="1387"/>
    </row>
    <row r="22" spans="1:19" ht="14.1" customHeight="1" x14ac:dyDescent="0.25">
      <c r="A22" s="99" t="s">
        <v>203</v>
      </c>
      <c r="B22" s="100"/>
      <c r="C22" s="1361" t="s">
        <v>210</v>
      </c>
      <c r="D22" s="1361"/>
      <c r="E22" s="110"/>
      <c r="F22" s="111"/>
      <c r="G22" s="125"/>
      <c r="H22" s="198"/>
      <c r="I22" s="119"/>
      <c r="J22" s="106">
        <f>SUM(J23:J23)</f>
        <v>1500000</v>
      </c>
      <c r="L22" s="1387"/>
      <c r="M22" s="1387"/>
      <c r="N22" s="1387"/>
      <c r="O22" s="1387"/>
      <c r="P22" s="1387"/>
      <c r="Q22" s="1387"/>
      <c r="R22" s="1387"/>
      <c r="S22" s="1387"/>
    </row>
    <row r="23" spans="1:19" ht="14.1" customHeight="1" x14ac:dyDescent="0.25">
      <c r="A23" s="99"/>
      <c r="B23" s="100"/>
      <c r="C23" s="109" t="s">
        <v>123</v>
      </c>
      <c r="D23" s="102" t="s">
        <v>244</v>
      </c>
      <c r="E23" s="110" t="s">
        <v>58</v>
      </c>
      <c r="F23" s="111"/>
      <c r="G23" s="894">
        <v>60</v>
      </c>
      <c r="H23" s="231" t="s">
        <v>714</v>
      </c>
      <c r="I23" s="230">
        <v>25000</v>
      </c>
      <c r="J23" s="230">
        <f>I23*G23</f>
        <v>1500000</v>
      </c>
      <c r="L23" s="1387"/>
      <c r="M23" s="1387"/>
      <c r="N23" s="1387"/>
      <c r="O23" s="1387"/>
      <c r="P23" s="1387"/>
      <c r="Q23" s="1387"/>
      <c r="R23" s="1387"/>
      <c r="S23" s="1387"/>
    </row>
    <row r="24" spans="1:19" s="79" customFormat="1" ht="20.85" customHeight="1" x14ac:dyDescent="0.25">
      <c r="A24" s="127"/>
      <c r="B24" s="1357" t="s">
        <v>15</v>
      </c>
      <c r="C24" s="1358"/>
      <c r="D24" s="1358"/>
      <c r="E24" s="1358"/>
      <c r="F24" s="80"/>
      <c r="G24" s="1357"/>
      <c r="H24" s="1362"/>
      <c r="I24" s="127"/>
      <c r="J24" s="88">
        <f>J13</f>
        <v>2000000</v>
      </c>
    </row>
    <row r="25" spans="1:19" s="79" customFormat="1" ht="9.75" customHeight="1" x14ac:dyDescent="0.25">
      <c r="A25" s="128"/>
      <c r="B25" s="128"/>
      <c r="C25" s="129"/>
      <c r="D25" s="78"/>
      <c r="E25" s="78"/>
      <c r="F25" s="78"/>
      <c r="G25" s="78"/>
      <c r="H25" s="78"/>
      <c r="I25" s="128"/>
      <c r="J25" s="130"/>
    </row>
    <row r="26" spans="1:19" s="79" customFormat="1" ht="14.25" customHeight="1" x14ac:dyDescent="0.25">
      <c r="A26" s="131"/>
      <c r="B26" s="131"/>
      <c r="C26" s="109"/>
      <c r="D26" s="132"/>
      <c r="E26" s="132"/>
      <c r="F26" s="132"/>
      <c r="G26" s="1359" t="s">
        <v>1002</v>
      </c>
      <c r="H26" s="1360"/>
      <c r="I26" s="1360"/>
      <c r="J26" s="1360"/>
    </row>
    <row r="27" spans="1:19" s="133" customFormat="1" ht="15" customHeight="1" x14ac:dyDescent="0.25">
      <c r="A27" s="1356" t="s">
        <v>11</v>
      </c>
      <c r="B27" s="1356"/>
      <c r="C27" s="1356"/>
      <c r="D27" s="1356"/>
      <c r="E27" s="134"/>
      <c r="F27" s="134"/>
      <c r="G27" s="1356" t="s">
        <v>21</v>
      </c>
      <c r="H27" s="1356"/>
      <c r="I27" s="1356"/>
      <c r="J27" s="1356"/>
    </row>
    <row r="31" spans="1:19" s="74" customFormat="1" ht="10.199999999999999" x14ac:dyDescent="0.25">
      <c r="A31" s="1355" t="s">
        <v>1000</v>
      </c>
      <c r="B31" s="1355"/>
      <c r="C31" s="1355"/>
      <c r="D31" s="1355"/>
      <c r="G31" s="1355" t="s">
        <v>199</v>
      </c>
      <c r="H31" s="1355"/>
      <c r="I31" s="1355"/>
      <c r="J31" s="1355"/>
    </row>
  </sheetData>
  <mergeCells count="31">
    <mergeCell ref="A1:J1"/>
    <mergeCell ref="G26:J26"/>
    <mergeCell ref="A10:A11"/>
    <mergeCell ref="D5:J5"/>
    <mergeCell ref="D9:J9"/>
    <mergeCell ref="G24:H24"/>
    <mergeCell ref="D7:J7"/>
    <mergeCell ref="B13:F13"/>
    <mergeCell ref="C16:D16"/>
    <mergeCell ref="G12:H12"/>
    <mergeCell ref="B15:D15"/>
    <mergeCell ref="B14:F14"/>
    <mergeCell ref="B12:F12"/>
    <mergeCell ref="L2:N2"/>
    <mergeCell ref="B10:F11"/>
    <mergeCell ref="A2:J2"/>
    <mergeCell ref="G11:H11"/>
    <mergeCell ref="M4:N4"/>
    <mergeCell ref="D6:J6"/>
    <mergeCell ref="D8:J8"/>
    <mergeCell ref="M3:N3"/>
    <mergeCell ref="A3:J3"/>
    <mergeCell ref="G10:J10"/>
    <mergeCell ref="G31:J31"/>
    <mergeCell ref="L16:S23"/>
    <mergeCell ref="G27:J27"/>
    <mergeCell ref="A31:D31"/>
    <mergeCell ref="A27:D27"/>
    <mergeCell ref="B21:D21"/>
    <mergeCell ref="B24:E24"/>
    <mergeCell ref="C22:D22"/>
  </mergeCells>
  <phoneticPr fontId="63" type="noConversion"/>
  <pageMargins left="0.8" right="0.65" top="0.68" bottom="0.75" header="0.3" footer="0.3"/>
  <pageSetup paperSize="14" fitToWidth="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S28"/>
  <sheetViews>
    <sheetView zoomScale="190" zoomScaleNormal="190" workbookViewId="0">
      <selection activeCell="A4" sqref="A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5.10937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5.6640625" style="72" customWidth="1"/>
    <col min="11" max="11" width="7" style="72" customWidth="1"/>
    <col min="12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  <c r="L5" s="1367" t="s">
        <v>421</v>
      </c>
      <c r="M5" s="1367"/>
      <c r="N5" s="1367"/>
    </row>
    <row r="6" spans="1:19" ht="21.75" customHeight="1" x14ac:dyDescent="0.25">
      <c r="A6" s="77" t="s">
        <v>3</v>
      </c>
      <c r="B6" s="77"/>
      <c r="C6" s="76" t="s">
        <v>137</v>
      </c>
      <c r="D6" s="1382" t="s">
        <v>247</v>
      </c>
      <c r="E6" s="1382"/>
      <c r="F6" s="1382"/>
      <c r="G6" s="1382"/>
      <c r="H6" s="1382"/>
      <c r="I6" s="1382"/>
      <c r="J6" s="1382"/>
      <c r="L6" s="74" t="s">
        <v>173</v>
      </c>
      <c r="M6" s="1366">
        <v>0</v>
      </c>
      <c r="N6" s="1366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  <c r="L7" s="74" t="s">
        <v>54</v>
      </c>
      <c r="M7" s="1366">
        <f>J13</f>
        <v>500000</v>
      </c>
      <c r="N7" s="1366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248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500000</v>
      </c>
    </row>
    <row r="14" spans="1:19" x14ac:dyDescent="0.25">
      <c r="A14" s="225" t="s">
        <v>250</v>
      </c>
      <c r="B14" s="1435" t="s">
        <v>251</v>
      </c>
      <c r="C14" s="1436"/>
      <c r="D14" s="1436"/>
      <c r="E14" s="1436"/>
      <c r="F14" s="1437"/>
      <c r="G14" s="226"/>
      <c r="H14" s="95"/>
      <c r="I14" s="96"/>
      <c r="J14" s="228"/>
    </row>
    <row r="15" spans="1:19" x14ac:dyDescent="0.25">
      <c r="A15" s="89" t="s">
        <v>208</v>
      </c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500000</v>
      </c>
    </row>
    <row r="16" spans="1:19" ht="14.1" customHeight="1" x14ac:dyDescent="0.25">
      <c r="A16" s="99" t="s">
        <v>19</v>
      </c>
      <c r="B16" s="100"/>
      <c r="C16" s="1361" t="s">
        <v>209</v>
      </c>
      <c r="D16" s="1361"/>
      <c r="E16" s="102"/>
      <c r="F16" s="103"/>
      <c r="G16" s="887"/>
      <c r="H16" s="888"/>
      <c r="I16" s="889"/>
      <c r="J16" s="205">
        <f>SUM(J17:J20,L16)</f>
        <v>500000</v>
      </c>
      <c r="L16" s="1387" t="s">
        <v>1051</v>
      </c>
      <c r="M16" s="1387"/>
      <c r="N16" s="1387"/>
      <c r="O16" s="1387"/>
      <c r="P16" s="1387"/>
      <c r="Q16" s="1387"/>
      <c r="R16" s="135"/>
      <c r="S16" s="135"/>
    </row>
    <row r="17" spans="1:19" customFormat="1" x14ac:dyDescent="0.25">
      <c r="A17" s="99"/>
      <c r="B17" s="100"/>
      <c r="C17" s="109" t="s">
        <v>123</v>
      </c>
      <c r="D17" s="101" t="s">
        <v>471</v>
      </c>
      <c r="E17" s="110" t="s">
        <v>54</v>
      </c>
      <c r="F17" s="103"/>
      <c r="G17" s="104">
        <v>2</v>
      </c>
      <c r="H17" s="377" t="s">
        <v>501</v>
      </c>
      <c r="I17" s="118">
        <v>25000</v>
      </c>
      <c r="J17" s="118">
        <f>I17*G17</f>
        <v>50000</v>
      </c>
      <c r="L17" s="1387"/>
      <c r="M17" s="1387"/>
      <c r="N17" s="1387"/>
      <c r="O17" s="1387"/>
      <c r="P17" s="1387"/>
      <c r="Q17" s="1387"/>
      <c r="R17" s="135"/>
      <c r="S17" s="135"/>
    </row>
    <row r="18" spans="1:19" customFormat="1" x14ac:dyDescent="0.25">
      <c r="A18" s="99"/>
      <c r="B18" s="100"/>
      <c r="C18" s="109" t="s">
        <v>124</v>
      </c>
      <c r="D18" s="101" t="s">
        <v>473</v>
      </c>
      <c r="E18" s="110" t="s">
        <v>54</v>
      </c>
      <c r="F18" s="103"/>
      <c r="G18" s="104">
        <v>7</v>
      </c>
      <c r="H18" s="377" t="s">
        <v>501</v>
      </c>
      <c r="I18" s="118">
        <v>35000</v>
      </c>
      <c r="J18" s="118">
        <f>I18*G18</f>
        <v>245000</v>
      </c>
      <c r="L18" s="1387"/>
      <c r="M18" s="1387"/>
      <c r="N18" s="1387"/>
      <c r="O18" s="1387"/>
      <c r="P18" s="1387"/>
      <c r="Q18" s="1387"/>
      <c r="R18" s="135"/>
      <c r="S18" s="135"/>
    </row>
    <row r="19" spans="1:19" customFormat="1" x14ac:dyDescent="0.25">
      <c r="A19" s="99"/>
      <c r="B19" s="100"/>
      <c r="C19" s="109" t="s">
        <v>125</v>
      </c>
      <c r="D19" s="101" t="s">
        <v>469</v>
      </c>
      <c r="E19" s="110" t="s">
        <v>54</v>
      </c>
      <c r="F19" s="103"/>
      <c r="G19" s="104">
        <v>2</v>
      </c>
      <c r="H19" s="377" t="s">
        <v>500</v>
      </c>
      <c r="I19" s="118">
        <v>65000</v>
      </c>
      <c r="J19" s="118">
        <f>I19*G19</f>
        <v>130000</v>
      </c>
      <c r="L19" s="135"/>
      <c r="M19" s="135"/>
      <c r="N19" s="135"/>
      <c r="O19" s="135"/>
      <c r="P19" s="135"/>
      <c r="Q19" s="135"/>
      <c r="R19" s="135"/>
      <c r="S19" s="135"/>
    </row>
    <row r="20" spans="1:19" ht="13.5" customHeight="1" x14ac:dyDescent="0.25">
      <c r="A20" s="107"/>
      <c r="B20" s="200"/>
      <c r="C20" s="109" t="s">
        <v>126</v>
      </c>
      <c r="D20" s="201" t="s">
        <v>1050</v>
      </c>
      <c r="E20" s="123" t="s">
        <v>54</v>
      </c>
      <c r="F20" s="203"/>
      <c r="G20" s="896">
        <v>10</v>
      </c>
      <c r="H20" s="204" t="s">
        <v>318</v>
      </c>
      <c r="I20" s="205">
        <v>7500</v>
      </c>
      <c r="J20" s="205">
        <f>I20*G20</f>
        <v>75000</v>
      </c>
      <c r="L20" s="135"/>
      <c r="M20" s="135"/>
      <c r="N20" s="135"/>
      <c r="O20" s="135"/>
      <c r="P20" s="135"/>
      <c r="Q20" s="135"/>
      <c r="R20" s="135"/>
      <c r="S20" s="135"/>
    </row>
    <row r="21" spans="1:19" s="79" customFormat="1" x14ac:dyDescent="0.25">
      <c r="A21" s="127"/>
      <c r="B21" s="1357" t="s">
        <v>15</v>
      </c>
      <c r="C21" s="1358"/>
      <c r="D21" s="1358"/>
      <c r="E21" s="1358"/>
      <c r="F21" s="80"/>
      <c r="G21" s="1357"/>
      <c r="H21" s="1362"/>
      <c r="I21" s="127"/>
      <c r="J21" s="88">
        <f>J13</f>
        <v>500000</v>
      </c>
    </row>
    <row r="22" spans="1:19" s="79" customFormat="1" ht="9.75" customHeight="1" x14ac:dyDescent="0.25">
      <c r="A22" s="128"/>
      <c r="B22" s="128"/>
      <c r="C22" s="129"/>
      <c r="D22" s="78"/>
      <c r="E22" s="78"/>
      <c r="F22" s="78"/>
      <c r="G22" s="78"/>
      <c r="H22" s="78"/>
      <c r="I22" s="128"/>
      <c r="J22" s="130"/>
    </row>
    <row r="23" spans="1:19" s="79" customFormat="1" ht="14.25" customHeight="1" x14ac:dyDescent="0.25">
      <c r="A23" s="131"/>
      <c r="B23" s="131"/>
      <c r="C23" s="109"/>
      <c r="D23" s="132"/>
      <c r="E23" s="132"/>
      <c r="F23" s="132"/>
      <c r="G23" s="1359" t="s">
        <v>1002</v>
      </c>
      <c r="H23" s="1360"/>
      <c r="I23" s="1360"/>
      <c r="J23" s="1360"/>
    </row>
    <row r="24" spans="1:19" s="133" customFormat="1" ht="15" customHeight="1" x14ac:dyDescent="0.25">
      <c r="A24" s="1356" t="s">
        <v>11</v>
      </c>
      <c r="B24" s="1356"/>
      <c r="C24" s="1356"/>
      <c r="D24" s="1356"/>
      <c r="E24" s="134"/>
      <c r="F24" s="134"/>
      <c r="G24" s="1356" t="s">
        <v>21</v>
      </c>
      <c r="H24" s="1356"/>
      <c r="I24" s="1356"/>
      <c r="J24" s="1356"/>
    </row>
    <row r="28" spans="1:19" s="74" customFormat="1" ht="10.199999999999999" x14ac:dyDescent="0.25">
      <c r="A28" s="1355" t="s">
        <v>1000</v>
      </c>
      <c r="B28" s="1355"/>
      <c r="C28" s="1355"/>
      <c r="D28" s="1355"/>
      <c r="G28" s="1355" t="s">
        <v>199</v>
      </c>
      <c r="H28" s="1355"/>
      <c r="I28" s="1355"/>
      <c r="J28" s="1355"/>
    </row>
  </sheetData>
  <mergeCells count="29">
    <mergeCell ref="G23:J23"/>
    <mergeCell ref="D6:J6"/>
    <mergeCell ref="B14:F14"/>
    <mergeCell ref="B21:E21"/>
    <mergeCell ref="A24:D24"/>
    <mergeCell ref="G28:J28"/>
    <mergeCell ref="A28:D28"/>
    <mergeCell ref="C16:D16"/>
    <mergeCell ref="L5:N5"/>
    <mergeCell ref="A10:A11"/>
    <mergeCell ref="B15:D15"/>
    <mergeCell ref="M6:N6"/>
    <mergeCell ref="B13:F13"/>
    <mergeCell ref="M7:N7"/>
    <mergeCell ref="D5:J5"/>
    <mergeCell ref="G21:H21"/>
    <mergeCell ref="D9:J9"/>
    <mergeCell ref="G10:J10"/>
    <mergeCell ref="D8:J8"/>
    <mergeCell ref="G24:J24"/>
    <mergeCell ref="D7:J7"/>
    <mergeCell ref="L16:Q18"/>
    <mergeCell ref="A1:J1"/>
    <mergeCell ref="B10:F11"/>
    <mergeCell ref="B12:F12"/>
    <mergeCell ref="G11:H11"/>
    <mergeCell ref="A3:J3"/>
    <mergeCell ref="A2:J2"/>
    <mergeCell ref="G12:H12"/>
  </mergeCells>
  <phoneticPr fontId="63" type="noConversion"/>
  <pageMargins left="0.8" right="0.65" top="0.68" bottom="0.75" header="0.3" footer="0.3"/>
  <pageSetup paperSize="14" fitToWidth="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S25"/>
  <sheetViews>
    <sheetView zoomScale="171" workbookViewId="0">
      <selection activeCell="A3" sqref="A3:J3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173</v>
      </c>
      <c r="M3" s="1366">
        <v>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54</v>
      </c>
      <c r="M4" s="1366">
        <f>J16+J17</f>
        <v>20330000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252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253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20330000</v>
      </c>
    </row>
    <row r="14" spans="1:19" ht="15.15" customHeight="1" x14ac:dyDescent="0.25">
      <c r="A14" s="89" t="s">
        <v>211</v>
      </c>
      <c r="B14" s="1371" t="s">
        <v>216</v>
      </c>
      <c r="C14" s="1372"/>
      <c r="D14" s="1372"/>
      <c r="E14" s="92"/>
      <c r="F14" s="93"/>
      <c r="G14" s="94"/>
      <c r="H14" s="95"/>
      <c r="I14" s="96"/>
      <c r="J14" s="97">
        <f>J15</f>
        <v>20330000</v>
      </c>
      <c r="L14" s="1387" t="s">
        <v>384</v>
      </c>
      <c r="M14" s="1387"/>
      <c r="N14" s="1387"/>
      <c r="O14" s="1387"/>
      <c r="P14" s="1387"/>
      <c r="Q14" s="1387"/>
      <c r="R14" s="1387"/>
      <c r="S14" s="1387"/>
    </row>
    <row r="15" spans="1:19" ht="14.1" customHeight="1" x14ac:dyDescent="0.25">
      <c r="A15" s="99" t="s">
        <v>254</v>
      </c>
      <c r="B15" s="100"/>
      <c r="C15" s="1361" t="s">
        <v>255</v>
      </c>
      <c r="D15" s="1361"/>
      <c r="E15" s="102"/>
      <c r="F15" s="103"/>
      <c r="G15" s="104"/>
      <c r="H15" s="95"/>
      <c r="I15" s="105"/>
      <c r="J15" s="106">
        <f>SUM(J16:J17)</f>
        <v>20330000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3.5" customHeight="1" x14ac:dyDescent="0.25">
      <c r="A16" s="107"/>
      <c r="B16" s="108"/>
      <c r="C16" s="109" t="s">
        <v>123</v>
      </c>
      <c r="D16" s="102" t="s">
        <v>257</v>
      </c>
      <c r="E16" s="110" t="s">
        <v>54</v>
      </c>
      <c r="F16" s="111"/>
      <c r="G16" s="112">
        <v>4066</v>
      </c>
      <c r="H16" s="113" t="s">
        <v>236</v>
      </c>
      <c r="I16" s="114">
        <v>2000</v>
      </c>
      <c r="J16" s="114">
        <f>I16*G16</f>
        <v>8132000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09" t="s">
        <v>124</v>
      </c>
      <c r="D17" s="102" t="s">
        <v>256</v>
      </c>
      <c r="E17" s="110" t="s">
        <v>54</v>
      </c>
      <c r="F17" s="111"/>
      <c r="G17" s="116">
        <v>4066</v>
      </c>
      <c r="H17" s="117" t="s">
        <v>236</v>
      </c>
      <c r="I17" s="118">
        <v>3000</v>
      </c>
      <c r="J17" s="118">
        <f>I17*G17</f>
        <v>12198000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s="79" customFormat="1" ht="20.85" customHeight="1" x14ac:dyDescent="0.25">
      <c r="A18" s="127"/>
      <c r="B18" s="1357" t="s">
        <v>15</v>
      </c>
      <c r="C18" s="1358"/>
      <c r="D18" s="1358"/>
      <c r="E18" s="1358"/>
      <c r="F18" s="80"/>
      <c r="G18" s="1357"/>
      <c r="H18" s="1362"/>
      <c r="I18" s="127"/>
      <c r="J18" s="88">
        <f>J13</f>
        <v>20330000</v>
      </c>
      <c r="L18" s="1431" t="s">
        <v>385</v>
      </c>
      <c r="M18" s="1431"/>
      <c r="N18" s="1431"/>
      <c r="O18" s="1431"/>
      <c r="P18" s="1431"/>
      <c r="Q18" s="1431"/>
      <c r="R18" s="1431"/>
      <c r="S18" s="1431"/>
    </row>
    <row r="19" spans="1:19" s="79" customFormat="1" ht="9.75" customHeight="1" x14ac:dyDescent="0.25">
      <c r="A19" s="128"/>
      <c r="B19" s="128"/>
      <c r="C19" s="129"/>
      <c r="D19" s="78"/>
      <c r="E19" s="78"/>
      <c r="F19" s="78"/>
      <c r="G19" s="78"/>
      <c r="H19" s="78"/>
      <c r="I19" s="128"/>
      <c r="J19" s="130"/>
    </row>
    <row r="20" spans="1:19" s="79" customFormat="1" ht="14.25" customHeight="1" x14ac:dyDescent="0.25">
      <c r="A20" s="131"/>
      <c r="B20" s="131"/>
      <c r="C20" s="109"/>
      <c r="D20" s="132"/>
      <c r="E20" s="132"/>
      <c r="F20" s="132"/>
      <c r="G20" s="1359" t="s">
        <v>1002</v>
      </c>
      <c r="H20" s="1360"/>
      <c r="I20" s="1360"/>
      <c r="J20" s="1360"/>
    </row>
    <row r="21" spans="1:19" s="133" customFormat="1" ht="15" customHeight="1" x14ac:dyDescent="0.25">
      <c r="A21" s="1356" t="s">
        <v>11</v>
      </c>
      <c r="B21" s="1356"/>
      <c r="C21" s="1356"/>
      <c r="D21" s="1356"/>
      <c r="E21" s="134"/>
      <c r="F21" s="134"/>
      <c r="G21" s="1356" t="s">
        <v>21</v>
      </c>
      <c r="H21" s="1356"/>
      <c r="I21" s="1356"/>
      <c r="J21" s="1356"/>
    </row>
    <row r="25" spans="1:19" s="74" customFormat="1" ht="10.199999999999999" x14ac:dyDescent="0.25">
      <c r="A25" s="1355" t="s">
        <v>1000</v>
      </c>
      <c r="B25" s="1355"/>
      <c r="C25" s="1355"/>
      <c r="D25" s="1355"/>
      <c r="G25" s="1355" t="s">
        <v>199</v>
      </c>
      <c r="H25" s="1355"/>
      <c r="I25" s="1355"/>
      <c r="J25" s="1355"/>
    </row>
  </sheetData>
  <mergeCells count="29">
    <mergeCell ref="G25:J25"/>
    <mergeCell ref="A10:A11"/>
    <mergeCell ref="A25:D25"/>
    <mergeCell ref="D6:J6"/>
    <mergeCell ref="A1:J1"/>
    <mergeCell ref="A21:D21"/>
    <mergeCell ref="B18:E18"/>
    <mergeCell ref="B13:F13"/>
    <mergeCell ref="B12:F12"/>
    <mergeCell ref="D5:J5"/>
    <mergeCell ref="G20:J20"/>
    <mergeCell ref="B14:D14"/>
    <mergeCell ref="G21:J21"/>
    <mergeCell ref="D8:J8"/>
    <mergeCell ref="B10:F11"/>
    <mergeCell ref="D7:J7"/>
    <mergeCell ref="L2:N2"/>
    <mergeCell ref="G18:H18"/>
    <mergeCell ref="L18:S18"/>
    <mergeCell ref="M4:N4"/>
    <mergeCell ref="M3:N3"/>
    <mergeCell ref="A2:J2"/>
    <mergeCell ref="L14:S17"/>
    <mergeCell ref="C15:D15"/>
    <mergeCell ref="D9:J9"/>
    <mergeCell ref="G10:J10"/>
    <mergeCell ref="G12:H12"/>
    <mergeCell ref="G11:H11"/>
    <mergeCell ref="A3:J3"/>
  </mergeCells>
  <pageMargins left="0.8" right="0.65" top="0.68" bottom="0.75" header="0.3" footer="0.3"/>
  <pageSetup paperSize="14" fitToWidth="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0A4E-18D6-4F9D-A34F-D7D11A9A1D8C}">
  <sheetPr>
    <tabColor rgb="FF92D050"/>
  </sheetPr>
  <dimension ref="A1:S26"/>
  <sheetViews>
    <sheetView zoomScale="171" workbookViewId="0">
      <selection activeCell="A4" sqref="A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5.77734375" style="72" customWidth="1"/>
    <col min="9" max="9" width="12" style="72" customWidth="1"/>
    <col min="10" max="10" width="14.33203125" style="72" customWidth="1"/>
    <col min="11" max="12" width="9.33203125" style="72"/>
    <col min="13" max="13" width="13" style="72" customWidth="1"/>
    <col min="14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173</v>
      </c>
      <c r="M3" s="380">
        <f>J13</f>
        <v>2514000</v>
      </c>
      <c r="N3" s="220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54</v>
      </c>
      <c r="M4" s="1366"/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134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438" t="s">
        <v>771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438" t="s">
        <v>190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</f>
        <v>2514000</v>
      </c>
    </row>
    <row r="14" spans="1:19" ht="15.15" customHeight="1" x14ac:dyDescent="0.25">
      <c r="A14" s="89" t="s">
        <v>211</v>
      </c>
      <c r="B14" s="1433" t="s">
        <v>190</v>
      </c>
      <c r="C14" s="1372"/>
      <c r="D14" s="1372"/>
      <c r="E14" s="92"/>
      <c r="F14" s="93"/>
      <c r="G14" s="94"/>
      <c r="H14" s="95"/>
      <c r="I14" s="96"/>
      <c r="J14" s="97">
        <f>J15+J18</f>
        <v>2514000</v>
      </c>
      <c r="L14" s="1387" t="s">
        <v>384</v>
      </c>
      <c r="M14" s="1387"/>
      <c r="N14" s="1387"/>
      <c r="O14" s="1387"/>
      <c r="P14" s="1387"/>
      <c r="Q14" s="1387"/>
      <c r="R14" s="1387"/>
      <c r="S14" s="1387"/>
    </row>
    <row r="15" spans="1:19" ht="14.1" customHeight="1" x14ac:dyDescent="0.25">
      <c r="A15" s="99" t="s">
        <v>254</v>
      </c>
      <c r="B15" s="100"/>
      <c r="C15" s="1434" t="s">
        <v>766</v>
      </c>
      <c r="D15" s="1361"/>
      <c r="E15" s="102"/>
      <c r="F15" s="103"/>
      <c r="G15" s="104"/>
      <c r="H15" s="95"/>
      <c r="I15" s="105"/>
      <c r="J15" s="106">
        <f>SUM(J16)</f>
        <v>2214000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/>
      <c r="B16" s="100"/>
      <c r="C16" s="109" t="s">
        <v>123</v>
      </c>
      <c r="D16" s="357" t="s">
        <v>767</v>
      </c>
      <c r="E16" s="353" t="s">
        <v>173</v>
      </c>
      <c r="F16" s="111"/>
      <c r="G16" s="112">
        <v>1</v>
      </c>
      <c r="H16" s="358" t="s">
        <v>768</v>
      </c>
      <c r="I16" s="114">
        <v>2214000</v>
      </c>
      <c r="J16" s="114">
        <f>I16*G16</f>
        <v>2214000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4.1" customHeight="1" x14ac:dyDescent="0.25">
      <c r="A17" s="99"/>
      <c r="B17" s="100"/>
      <c r="C17" s="1434" t="s">
        <v>769</v>
      </c>
      <c r="D17" s="1361"/>
      <c r="E17" s="102"/>
      <c r="F17" s="103"/>
      <c r="G17" s="104"/>
      <c r="H17" s="95"/>
      <c r="I17" s="96"/>
      <c r="J17" s="118"/>
      <c r="L17" s="1387"/>
      <c r="M17" s="1387"/>
      <c r="N17" s="1387"/>
      <c r="O17" s="1387"/>
      <c r="P17" s="1387"/>
      <c r="Q17" s="1387"/>
      <c r="R17" s="1387"/>
      <c r="S17" s="1387"/>
    </row>
    <row r="18" spans="1:19" ht="13.5" customHeight="1" x14ac:dyDescent="0.25">
      <c r="A18" s="107"/>
      <c r="B18" s="108"/>
      <c r="C18" s="109" t="s">
        <v>123</v>
      </c>
      <c r="D18" s="352" t="s">
        <v>770</v>
      </c>
      <c r="E18" s="353" t="s">
        <v>173</v>
      </c>
      <c r="F18" s="111"/>
      <c r="G18" s="112">
        <v>1</v>
      </c>
      <c r="H18" s="358" t="s">
        <v>768</v>
      </c>
      <c r="I18" s="114">
        <v>300000</v>
      </c>
      <c r="J18" s="114">
        <f>I18*G18</f>
        <v>300000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s="79" customFormat="1" ht="20.85" customHeight="1" x14ac:dyDescent="0.25">
      <c r="A19" s="127"/>
      <c r="B19" s="1357" t="s">
        <v>15</v>
      </c>
      <c r="C19" s="1358"/>
      <c r="D19" s="1358"/>
      <c r="E19" s="1358"/>
      <c r="F19" s="80"/>
      <c r="G19" s="1357"/>
      <c r="H19" s="1362"/>
      <c r="I19" s="127"/>
      <c r="J19" s="88">
        <f>J13</f>
        <v>2514000</v>
      </c>
      <c r="L19" s="1431" t="s">
        <v>385</v>
      </c>
      <c r="M19" s="1431"/>
      <c r="N19" s="1431"/>
      <c r="O19" s="1431"/>
      <c r="P19" s="1431"/>
      <c r="Q19" s="1431"/>
      <c r="R19" s="1431"/>
      <c r="S19" s="1431"/>
    </row>
    <row r="20" spans="1:19" s="79" customFormat="1" ht="9.75" customHeight="1" x14ac:dyDescent="0.25">
      <c r="A20" s="128"/>
      <c r="B20" s="128"/>
      <c r="C20" s="129"/>
      <c r="D20" s="78"/>
      <c r="E20" s="78"/>
      <c r="F20" s="78"/>
      <c r="G20" s="78"/>
      <c r="H20" s="78"/>
      <c r="I20" s="128"/>
      <c r="J20" s="130"/>
    </row>
    <row r="21" spans="1:19" s="79" customFormat="1" ht="14.25" customHeight="1" x14ac:dyDescent="0.25">
      <c r="A21" s="131"/>
      <c r="B21" s="131"/>
      <c r="C21" s="109"/>
      <c r="D21" s="132"/>
      <c r="E21" s="132"/>
      <c r="F21" s="132"/>
      <c r="G21" s="1359" t="s">
        <v>1002</v>
      </c>
      <c r="H21" s="1360"/>
      <c r="I21" s="1360"/>
      <c r="J21" s="1360"/>
    </row>
    <row r="22" spans="1:19" s="133" customFormat="1" ht="15" customHeight="1" x14ac:dyDescent="0.25">
      <c r="A22" s="1356" t="s">
        <v>11</v>
      </c>
      <c r="B22" s="1356"/>
      <c r="C22" s="1356"/>
      <c r="D22" s="1356"/>
      <c r="E22" s="134"/>
      <c r="F22" s="134"/>
      <c r="G22" s="1356" t="s">
        <v>21</v>
      </c>
      <c r="H22" s="1356"/>
      <c r="I22" s="1356"/>
      <c r="J22" s="1356"/>
    </row>
    <row r="26" spans="1:19" s="74" customFormat="1" ht="10.199999999999999" x14ac:dyDescent="0.25">
      <c r="A26" s="1355" t="s">
        <v>1000</v>
      </c>
      <c r="B26" s="1355"/>
      <c r="C26" s="1355"/>
      <c r="D26" s="1355"/>
      <c r="G26" s="1355" t="s">
        <v>199</v>
      </c>
      <c r="H26" s="1355"/>
      <c r="I26" s="1355"/>
      <c r="J26" s="1355"/>
    </row>
  </sheetData>
  <mergeCells count="29">
    <mergeCell ref="A26:D26"/>
    <mergeCell ref="G26:J26"/>
    <mergeCell ref="C17:D17"/>
    <mergeCell ref="B19:E19"/>
    <mergeCell ref="G19:H19"/>
    <mergeCell ref="L19:S19"/>
    <mergeCell ref="G21:J21"/>
    <mergeCell ref="A22:D22"/>
    <mergeCell ref="G22:J22"/>
    <mergeCell ref="B12:F12"/>
    <mergeCell ref="G12:H12"/>
    <mergeCell ref="B13:F13"/>
    <mergeCell ref="B14:D14"/>
    <mergeCell ref="L14:S18"/>
    <mergeCell ref="C15:D15"/>
    <mergeCell ref="A1:J1"/>
    <mergeCell ref="A2:J2"/>
    <mergeCell ref="D5:J5"/>
    <mergeCell ref="D6:J6"/>
    <mergeCell ref="D7:J7"/>
    <mergeCell ref="L2:N2"/>
    <mergeCell ref="A3:J3"/>
    <mergeCell ref="M4:N4"/>
    <mergeCell ref="A10:A11"/>
    <mergeCell ref="B10:F11"/>
    <mergeCell ref="G10:J10"/>
    <mergeCell ref="G11:H11"/>
    <mergeCell ref="D8:J8"/>
    <mergeCell ref="D9:J9"/>
  </mergeCells>
  <pageMargins left="0.8" right="0.65" top="0.68" bottom="0.75" header="0.3" footer="0.3"/>
  <pageSetup paperSize="14" fitToWidth="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S25"/>
  <sheetViews>
    <sheetView zoomScale="180" zoomScaleNormal="180" workbookViewId="0">
      <selection activeCell="A4" sqref="A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J17</f>
        <v>24000000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54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281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261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262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24000000</v>
      </c>
    </row>
    <row r="14" spans="1:19" ht="15" customHeight="1" x14ac:dyDescent="0.25">
      <c r="A14" s="225" t="s">
        <v>258</v>
      </c>
      <c r="B14" s="1435" t="s">
        <v>259</v>
      </c>
      <c r="C14" s="1436"/>
      <c r="D14" s="1436"/>
      <c r="E14" s="1436"/>
      <c r="F14" s="1437"/>
      <c r="G14" s="226"/>
      <c r="H14" s="95"/>
      <c r="I14" s="96"/>
      <c r="J14" s="228"/>
      <c r="L14" s="1387" t="s">
        <v>347</v>
      </c>
      <c r="M14" s="1387"/>
      <c r="N14" s="1387"/>
      <c r="O14" s="1387"/>
      <c r="P14" s="1387"/>
      <c r="Q14" s="1387"/>
      <c r="R14" s="1387"/>
      <c r="S14" s="1387"/>
    </row>
    <row r="15" spans="1:19" ht="15.15" customHeight="1" x14ac:dyDescent="0.25">
      <c r="A15" s="89" t="s">
        <v>211</v>
      </c>
      <c r="B15" s="1371" t="s">
        <v>216</v>
      </c>
      <c r="C15" s="1372"/>
      <c r="D15" s="1372"/>
      <c r="E15" s="92"/>
      <c r="F15" s="93"/>
      <c r="G15" s="94"/>
      <c r="H15" s="95"/>
      <c r="I15" s="96"/>
      <c r="J15" s="97">
        <f>J16</f>
        <v>24000000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 t="s">
        <v>254</v>
      </c>
      <c r="B16" s="100"/>
      <c r="C16" s="1361" t="s">
        <v>255</v>
      </c>
      <c r="D16" s="1361"/>
      <c r="E16" s="102"/>
      <c r="F16" s="103"/>
      <c r="G16" s="104"/>
      <c r="H16" s="95"/>
      <c r="I16" s="105"/>
      <c r="J16" s="106">
        <f>SUM(J17:J17)</f>
        <v>24000000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09" t="s">
        <v>123</v>
      </c>
      <c r="D17" s="102" t="s">
        <v>794</v>
      </c>
      <c r="E17" s="110" t="s">
        <v>50</v>
      </c>
      <c r="F17" s="111"/>
      <c r="G17" s="112">
        <v>480</v>
      </c>
      <c r="H17" s="113" t="s">
        <v>9</v>
      </c>
      <c r="I17" s="114">
        <v>50000</v>
      </c>
      <c r="J17" s="114">
        <f>I17*G17</f>
        <v>24000000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s="79" customFormat="1" ht="20.85" customHeight="1" x14ac:dyDescent="0.25">
      <c r="A18" s="127"/>
      <c r="B18" s="1357" t="s">
        <v>15</v>
      </c>
      <c r="C18" s="1358"/>
      <c r="D18" s="1358"/>
      <c r="E18" s="1358"/>
      <c r="F18" s="80"/>
      <c r="G18" s="1357"/>
      <c r="H18" s="1362"/>
      <c r="I18" s="127"/>
      <c r="J18" s="88">
        <f>J13</f>
        <v>24000000</v>
      </c>
      <c r="L18" s="1387" t="s">
        <v>442</v>
      </c>
      <c r="M18" s="1387"/>
      <c r="N18" s="1387"/>
      <c r="O18" s="1387"/>
      <c r="P18" s="1387"/>
      <c r="Q18" s="1387"/>
      <c r="R18" s="1387"/>
      <c r="S18" s="1387"/>
    </row>
    <row r="19" spans="1:19" s="79" customFormat="1" ht="9.75" customHeight="1" x14ac:dyDescent="0.25">
      <c r="A19" s="128"/>
      <c r="B19" s="128"/>
      <c r="C19" s="129"/>
      <c r="D19" s="78"/>
      <c r="E19" s="78"/>
      <c r="F19" s="78"/>
      <c r="G19" s="78"/>
      <c r="H19" s="78"/>
      <c r="I19" s="128"/>
      <c r="J19" s="130"/>
      <c r="L19" s="234"/>
      <c r="M19" s="234"/>
      <c r="N19" s="234"/>
      <c r="O19" s="234"/>
      <c r="P19" s="234"/>
      <c r="Q19" s="234"/>
      <c r="R19" s="234"/>
      <c r="S19" s="234"/>
    </row>
    <row r="20" spans="1:19" s="79" customFormat="1" ht="14.25" customHeight="1" x14ac:dyDescent="0.25">
      <c r="A20" s="131"/>
      <c r="B20" s="131"/>
      <c r="C20" s="109"/>
      <c r="D20" s="132"/>
      <c r="E20" s="132"/>
      <c r="F20" s="132"/>
      <c r="G20" s="1359" t="s">
        <v>1002</v>
      </c>
      <c r="H20" s="1360"/>
      <c r="I20" s="1360"/>
      <c r="J20" s="1360"/>
      <c r="L20" s="234"/>
      <c r="M20" s="234"/>
      <c r="N20" s="234"/>
      <c r="O20" s="234"/>
      <c r="P20" s="234"/>
      <c r="Q20" s="234"/>
      <c r="R20" s="234"/>
      <c r="S20" s="234"/>
    </row>
    <row r="21" spans="1:19" s="133" customFormat="1" ht="15" customHeight="1" x14ac:dyDescent="0.25">
      <c r="A21" s="1356" t="s">
        <v>11</v>
      </c>
      <c r="B21" s="1356"/>
      <c r="C21" s="1356"/>
      <c r="D21" s="1356"/>
      <c r="E21" s="134"/>
      <c r="F21" s="134"/>
      <c r="G21" s="1356" t="s">
        <v>21</v>
      </c>
      <c r="H21" s="1356"/>
      <c r="I21" s="1356"/>
      <c r="J21" s="1356"/>
      <c r="L21" s="234"/>
      <c r="M21" s="234"/>
      <c r="N21" s="234"/>
      <c r="O21" s="234"/>
      <c r="P21" s="234"/>
      <c r="Q21" s="234"/>
      <c r="R21" s="234"/>
      <c r="S21" s="234"/>
    </row>
    <row r="22" spans="1:19" x14ac:dyDescent="0.25">
      <c r="L22" s="234"/>
      <c r="M22" s="234"/>
      <c r="N22" s="234"/>
      <c r="O22" s="234"/>
      <c r="P22" s="234"/>
      <c r="Q22" s="234"/>
      <c r="R22" s="234"/>
      <c r="S22" s="234"/>
    </row>
    <row r="23" spans="1:19" x14ac:dyDescent="0.25">
      <c r="L23" s="234"/>
      <c r="M23" s="234"/>
      <c r="N23" s="234"/>
      <c r="O23" s="234"/>
      <c r="P23" s="234"/>
      <c r="Q23" s="234"/>
      <c r="R23" s="234"/>
      <c r="S23" s="234"/>
    </row>
    <row r="25" spans="1:19" s="74" customFormat="1" ht="10.199999999999999" x14ac:dyDescent="0.25">
      <c r="A25" s="1355" t="s">
        <v>1000</v>
      </c>
      <c r="B25" s="1355"/>
      <c r="C25" s="1355"/>
      <c r="D25" s="1355"/>
      <c r="G25" s="1355" t="s">
        <v>260</v>
      </c>
      <c r="H25" s="1355"/>
      <c r="I25" s="1355"/>
      <c r="J25" s="1355"/>
    </row>
  </sheetData>
  <mergeCells count="30">
    <mergeCell ref="G25:J25"/>
    <mergeCell ref="A25:D25"/>
    <mergeCell ref="A3:J3"/>
    <mergeCell ref="A1:J1"/>
    <mergeCell ref="G21:J21"/>
    <mergeCell ref="A21:D21"/>
    <mergeCell ref="D8:J8"/>
    <mergeCell ref="D7:J7"/>
    <mergeCell ref="G18:H18"/>
    <mergeCell ref="B14:F14"/>
    <mergeCell ref="D5:J5"/>
    <mergeCell ref="G20:J20"/>
    <mergeCell ref="B12:F12"/>
    <mergeCell ref="G11:H11"/>
    <mergeCell ref="B10:F11"/>
    <mergeCell ref="C16:D16"/>
    <mergeCell ref="M4:N4"/>
    <mergeCell ref="L14:S17"/>
    <mergeCell ref="L18:S18"/>
    <mergeCell ref="L2:N2"/>
    <mergeCell ref="D6:J6"/>
    <mergeCell ref="A2:J2"/>
    <mergeCell ref="M3:N3"/>
    <mergeCell ref="B18:E18"/>
    <mergeCell ref="G12:H12"/>
    <mergeCell ref="G10:J10"/>
    <mergeCell ref="B15:D15"/>
    <mergeCell ref="B13:F13"/>
    <mergeCell ref="D9:J9"/>
    <mergeCell ref="A10:A11"/>
  </mergeCells>
  <pageMargins left="0.8" right="0.65" top="0.68" bottom="0.75" header="0.3" footer="0.3"/>
  <pageSetup paperSize="14" fitToWidth="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EE4F-C19B-4010-AE48-961892508B58}">
  <sheetPr>
    <tabColor rgb="FF00B0F0"/>
  </sheetPr>
  <dimension ref="A1:N26"/>
  <sheetViews>
    <sheetView zoomScale="180" zoomScaleNormal="180" workbookViewId="0">
      <selection activeCell="M16" sqref="M16"/>
    </sheetView>
  </sheetViews>
  <sheetFormatPr defaultRowHeight="13.2" x14ac:dyDescent="0.25"/>
  <cols>
    <col min="2" max="2" width="2.33203125" customWidth="1"/>
    <col min="3" max="3" width="3.109375" customWidth="1"/>
    <col min="4" max="4" width="19.6640625" customWidth="1"/>
    <col min="5" max="5" width="9.44140625" customWidth="1"/>
    <col min="6" max="6" width="0.77734375" customWidth="1"/>
    <col min="7" max="7" width="4.44140625" customWidth="1"/>
    <col min="8" max="8" width="4" customWidth="1"/>
    <col min="9" max="9" width="10.109375" customWidth="1"/>
    <col min="10" max="10" width="13.109375" customWidth="1"/>
  </cols>
  <sheetData>
    <row r="1" spans="1:14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  <c r="L1" s="1367" t="s">
        <v>421</v>
      </c>
      <c r="M1" s="1367"/>
      <c r="N1" s="1367"/>
    </row>
    <row r="2" spans="1:14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74" t="s">
        <v>50</v>
      </c>
      <c r="M2" s="1366">
        <f>J13</f>
        <v>3700000</v>
      </c>
      <c r="N2" s="1366"/>
    </row>
    <row r="3" spans="1:14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54</v>
      </c>
      <c r="M3" s="1366">
        <v>0</v>
      </c>
      <c r="N3" s="1366"/>
    </row>
    <row r="4" spans="1:14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</row>
    <row r="5" spans="1:14" x14ac:dyDescent="0.25">
      <c r="A5" s="77" t="s">
        <v>1</v>
      </c>
      <c r="B5" s="77"/>
      <c r="C5" s="76" t="s">
        <v>137</v>
      </c>
      <c r="D5" s="1382" t="s">
        <v>281</v>
      </c>
      <c r="E5" s="1382"/>
      <c r="F5" s="1382"/>
      <c r="G5" s="1382"/>
      <c r="H5" s="1382"/>
      <c r="I5" s="1382"/>
      <c r="J5" s="1382"/>
    </row>
    <row r="6" spans="1:14" x14ac:dyDescent="0.25">
      <c r="A6" s="77" t="s">
        <v>3</v>
      </c>
      <c r="B6" s="77"/>
      <c r="C6" s="76" t="s">
        <v>137</v>
      </c>
      <c r="D6" s="1382" t="s">
        <v>991</v>
      </c>
      <c r="E6" s="1382"/>
      <c r="F6" s="1382"/>
      <c r="G6" s="1382"/>
      <c r="H6" s="1382"/>
      <c r="I6" s="1382"/>
      <c r="J6" s="1382"/>
    </row>
    <row r="7" spans="1:14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4" x14ac:dyDescent="0.25">
      <c r="A8" s="77" t="s">
        <v>6</v>
      </c>
      <c r="B8" s="77"/>
      <c r="C8" s="76" t="s">
        <v>137</v>
      </c>
      <c r="D8" s="1382" t="s">
        <v>992</v>
      </c>
      <c r="E8" s="1382"/>
      <c r="F8" s="1382"/>
      <c r="G8" s="1382"/>
      <c r="H8" s="1382"/>
      <c r="I8" s="1382"/>
      <c r="J8" s="1382"/>
    </row>
    <row r="9" spans="1:14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4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4" ht="19.2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4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4" x14ac:dyDescent="0.25">
      <c r="A13" s="83">
        <v>5</v>
      </c>
      <c r="B13" s="1368" t="s">
        <v>16</v>
      </c>
      <c r="C13" s="1369"/>
      <c r="D13" s="1369"/>
      <c r="E13" s="1369"/>
      <c r="F13" s="1370"/>
      <c r="G13" s="84"/>
      <c r="H13" s="1199"/>
      <c r="I13" s="1203"/>
      <c r="J13" s="1204">
        <f>J15</f>
        <v>3700000</v>
      </c>
    </row>
    <row r="14" spans="1:14" x14ac:dyDescent="0.25">
      <c r="A14" s="225"/>
      <c r="B14" s="1435" t="s">
        <v>993</v>
      </c>
      <c r="C14" s="1436"/>
      <c r="D14" s="1436"/>
      <c r="E14" s="1436"/>
      <c r="F14" s="1437"/>
      <c r="G14" s="226"/>
      <c r="H14" s="892"/>
      <c r="I14" s="1205"/>
      <c r="J14" s="1206"/>
    </row>
    <row r="15" spans="1:14" x14ac:dyDescent="0.25">
      <c r="A15" s="89"/>
      <c r="B15" s="1371" t="s">
        <v>718</v>
      </c>
      <c r="C15" s="1372"/>
      <c r="D15" s="1372"/>
      <c r="E15" s="92"/>
      <c r="F15" s="93"/>
      <c r="G15" s="94"/>
      <c r="H15" s="892"/>
      <c r="I15" s="1205"/>
      <c r="J15" s="1206">
        <f>J16</f>
        <v>3700000</v>
      </c>
    </row>
    <row r="16" spans="1:14" x14ac:dyDescent="0.25">
      <c r="A16" s="99"/>
      <c r="B16" s="100"/>
      <c r="C16" s="1361" t="s">
        <v>230</v>
      </c>
      <c r="D16" s="1361"/>
      <c r="E16" s="1361"/>
      <c r="F16" s="103"/>
      <c r="G16" s="104"/>
      <c r="H16" s="892"/>
      <c r="I16" s="1207"/>
      <c r="J16" s="1208">
        <v>3700000</v>
      </c>
    </row>
    <row r="17" spans="1:10" x14ac:dyDescent="0.25">
      <c r="A17" s="1196"/>
      <c r="B17" s="1197"/>
      <c r="C17" s="1200" t="s">
        <v>123</v>
      </c>
      <c r="D17" s="102" t="s">
        <v>906</v>
      </c>
      <c r="E17" s="110" t="s">
        <v>50</v>
      </c>
      <c r="F17" s="111"/>
      <c r="G17" s="1182">
        <v>2</v>
      </c>
      <c r="H17" s="1201" t="s">
        <v>318</v>
      </c>
      <c r="I17" s="1166">
        <v>350000</v>
      </c>
      <c r="J17" s="1209">
        <f>I17*G17</f>
        <v>700000</v>
      </c>
    </row>
    <row r="18" spans="1:10" x14ac:dyDescent="0.25">
      <c r="A18" s="1196"/>
      <c r="B18" s="1197"/>
      <c r="C18" s="1200" t="s">
        <v>124</v>
      </c>
      <c r="D18" s="102" t="s">
        <v>907</v>
      </c>
      <c r="E18" s="110" t="s">
        <v>50</v>
      </c>
      <c r="F18" s="111"/>
      <c r="G18" s="893">
        <v>25</v>
      </c>
      <c r="H18" s="1202" t="s">
        <v>318</v>
      </c>
      <c r="I18" s="1191">
        <v>120000</v>
      </c>
      <c r="J18" s="1171">
        <f>I18*G18</f>
        <v>3000000</v>
      </c>
    </row>
    <row r="19" spans="1:10" x14ac:dyDescent="0.25">
      <c r="A19" s="1198"/>
      <c r="B19" s="1357" t="s">
        <v>15</v>
      </c>
      <c r="C19" s="1358"/>
      <c r="D19" s="1358"/>
      <c r="E19" s="1358"/>
      <c r="F19" s="80"/>
      <c r="G19" s="1357"/>
      <c r="H19" s="1362"/>
      <c r="I19" s="1166"/>
      <c r="J19" s="1210">
        <f>J13</f>
        <v>3700000</v>
      </c>
    </row>
    <row r="20" spans="1:10" x14ac:dyDescent="0.25">
      <c r="A20" s="128"/>
      <c r="B20" s="128"/>
      <c r="C20" s="129"/>
      <c r="D20" s="78"/>
      <c r="E20" s="78"/>
      <c r="F20" s="78"/>
      <c r="G20" s="78"/>
      <c r="H20" s="78"/>
      <c r="I20" s="128"/>
      <c r="J20" s="130"/>
    </row>
    <row r="21" spans="1:10" ht="12.75" customHeight="1" x14ac:dyDescent="0.25">
      <c r="A21" s="131"/>
      <c r="B21" s="131"/>
      <c r="C21" s="109"/>
      <c r="D21" s="132"/>
      <c r="E21" s="132"/>
      <c r="F21" s="132"/>
      <c r="G21" s="1359" t="s">
        <v>1002</v>
      </c>
      <c r="H21" s="1360"/>
      <c r="I21" s="1360"/>
      <c r="J21" s="1360"/>
    </row>
    <row r="22" spans="1:10" ht="12.75" customHeight="1" x14ac:dyDescent="0.25">
      <c r="A22" s="1356" t="s">
        <v>11</v>
      </c>
      <c r="B22" s="1356"/>
      <c r="C22" s="1356"/>
      <c r="D22" s="1356"/>
      <c r="E22" s="1356"/>
      <c r="F22" s="134"/>
      <c r="G22" s="1356" t="s">
        <v>21</v>
      </c>
      <c r="H22" s="1356"/>
      <c r="I22" s="1356"/>
      <c r="J22" s="1356"/>
    </row>
    <row r="23" spans="1:10" x14ac:dyDescent="0.25">
      <c r="A23" s="72"/>
      <c r="B23" s="72"/>
      <c r="C23" s="70"/>
      <c r="D23" s="72"/>
      <c r="E23" s="72"/>
      <c r="F23" s="72"/>
      <c r="G23" s="72"/>
      <c r="H23" s="72"/>
      <c r="I23" s="72"/>
      <c r="J23" s="72"/>
    </row>
    <row r="24" spans="1:10" x14ac:dyDescent="0.25">
      <c r="A24" s="72"/>
      <c r="B24" s="72"/>
      <c r="C24" s="70"/>
      <c r="D24" s="72"/>
      <c r="E24" s="72"/>
      <c r="F24" s="72"/>
      <c r="G24" s="72"/>
      <c r="H24" s="72"/>
      <c r="I24" s="72"/>
      <c r="J24" s="72"/>
    </row>
    <row r="25" spans="1:10" x14ac:dyDescent="0.25">
      <c r="A25" s="72"/>
      <c r="B25" s="72"/>
      <c r="C25" s="70"/>
      <c r="D25" s="72"/>
      <c r="E25" s="72"/>
      <c r="F25" s="72"/>
      <c r="G25" s="72"/>
      <c r="H25" s="72"/>
      <c r="I25" s="72"/>
      <c r="J25" s="72"/>
    </row>
    <row r="26" spans="1:10" x14ac:dyDescent="0.25">
      <c r="A26" s="1355" t="s">
        <v>1000</v>
      </c>
      <c r="B26" s="1355"/>
      <c r="C26" s="1355"/>
      <c r="D26" s="1355"/>
      <c r="E26" s="1355"/>
      <c r="F26" s="74"/>
      <c r="G26" s="1355" t="s">
        <v>260</v>
      </c>
      <c r="H26" s="1355"/>
      <c r="I26" s="1355"/>
      <c r="J26" s="1355"/>
    </row>
  </sheetData>
  <mergeCells count="28">
    <mergeCell ref="L1:N1"/>
    <mergeCell ref="M2:N2"/>
    <mergeCell ref="M3:N3"/>
    <mergeCell ref="G11:H11"/>
    <mergeCell ref="B12:F12"/>
    <mergeCell ref="G12:H12"/>
    <mergeCell ref="A1:J1"/>
    <mergeCell ref="A2:J2"/>
    <mergeCell ref="A3:J3"/>
    <mergeCell ref="D5:J5"/>
    <mergeCell ref="D6:J6"/>
    <mergeCell ref="D7:J7"/>
    <mergeCell ref="D8:J8"/>
    <mergeCell ref="D9:J9"/>
    <mergeCell ref="G26:J26"/>
    <mergeCell ref="A22:E22"/>
    <mergeCell ref="A26:E26"/>
    <mergeCell ref="C16:E16"/>
    <mergeCell ref="A10:A11"/>
    <mergeCell ref="B10:F11"/>
    <mergeCell ref="G10:J10"/>
    <mergeCell ref="G22:J22"/>
    <mergeCell ref="B19:E19"/>
    <mergeCell ref="G19:H19"/>
    <mergeCell ref="G21:J21"/>
    <mergeCell ref="B13:F13"/>
    <mergeCell ref="B14:F14"/>
    <mergeCell ref="B15:D15"/>
  </mergeCells>
  <pageMargins left="0.7" right="0.7" top="0.75" bottom="0.75" header="0.3" footer="0.3"/>
  <pageSetup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R58"/>
  <sheetViews>
    <sheetView topLeftCell="A39" zoomScale="190" zoomScaleNormal="190" workbookViewId="0">
      <selection activeCell="L50" sqref="L50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0" style="72" customWidth="1"/>
    <col min="10" max="10" width="14.33203125" style="72" customWidth="1"/>
    <col min="11" max="16384" width="9.33203125" style="72"/>
  </cols>
  <sheetData>
    <row r="1" spans="1:18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8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8" ht="13.5" customHeight="1" x14ac:dyDescent="0.25">
      <c r="A3" s="1360" t="s">
        <v>24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J13</f>
        <v>67284000</v>
      </c>
      <c r="N3" s="1366"/>
    </row>
    <row r="4" spans="1:18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54</v>
      </c>
      <c r="M4" s="1366">
        <v>0</v>
      </c>
      <c r="N4" s="1366"/>
    </row>
    <row r="5" spans="1:18" ht="10.5" customHeight="1" x14ac:dyDescent="0.25">
      <c r="A5" s="77" t="s">
        <v>1</v>
      </c>
      <c r="B5" s="77"/>
      <c r="C5" s="76" t="s">
        <v>137</v>
      </c>
      <c r="D5" s="1382" t="s">
        <v>281</v>
      </c>
      <c r="E5" s="1382"/>
      <c r="F5" s="1382"/>
      <c r="G5" s="1382"/>
      <c r="H5" s="1382"/>
      <c r="I5" s="1382"/>
      <c r="J5" s="1382"/>
    </row>
    <row r="6" spans="1:18" ht="13.5" customHeight="1" x14ac:dyDescent="0.25">
      <c r="A6" s="77" t="s">
        <v>3</v>
      </c>
      <c r="B6" s="77"/>
      <c r="C6" s="76" t="s">
        <v>137</v>
      </c>
      <c r="D6" s="1382" t="s">
        <v>263</v>
      </c>
      <c r="E6" s="1382"/>
      <c r="F6" s="1382"/>
      <c r="G6" s="1382"/>
      <c r="H6" s="1382"/>
      <c r="I6" s="1382"/>
      <c r="J6" s="1382"/>
    </row>
    <row r="7" spans="1:18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8" ht="11.25" customHeight="1" x14ac:dyDescent="0.25">
      <c r="A8" s="77" t="s">
        <v>6</v>
      </c>
      <c r="B8" s="77"/>
      <c r="C8" s="76" t="s">
        <v>137</v>
      </c>
      <c r="D8" s="1382" t="s">
        <v>263</v>
      </c>
      <c r="E8" s="1382"/>
      <c r="F8" s="1382"/>
      <c r="G8" s="1382"/>
      <c r="H8" s="1382"/>
      <c r="I8" s="1382"/>
      <c r="J8" s="1382"/>
    </row>
    <row r="9" spans="1:18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8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8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8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8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J14+J24+J40+J46+J34+J38+J49</f>
        <v>67284000</v>
      </c>
    </row>
    <row r="14" spans="1:18" ht="15" customHeight="1" x14ac:dyDescent="0.25">
      <c r="A14" s="225" t="s">
        <v>264</v>
      </c>
      <c r="B14" s="1442" t="s">
        <v>265</v>
      </c>
      <c r="C14" s="1443"/>
      <c r="D14" s="1443"/>
      <c r="E14" s="1443"/>
      <c r="F14" s="1444"/>
      <c r="G14" s="226"/>
      <c r="H14" s="95"/>
      <c r="I14" s="96"/>
      <c r="J14" s="227">
        <f>J15</f>
        <v>21000000</v>
      </c>
    </row>
    <row r="15" spans="1:18" ht="15.15" customHeight="1" x14ac:dyDescent="0.25">
      <c r="A15" s="89" t="s">
        <v>266</v>
      </c>
      <c r="B15" s="1371" t="s">
        <v>267</v>
      </c>
      <c r="C15" s="1372"/>
      <c r="D15" s="1372"/>
      <c r="E15" s="1372"/>
      <c r="F15" s="1423"/>
      <c r="G15" s="94"/>
      <c r="H15" s="95"/>
      <c r="I15" s="96"/>
      <c r="J15" s="97">
        <f>J16</f>
        <v>21000000</v>
      </c>
    </row>
    <row r="16" spans="1:18" ht="14.1" customHeight="1" x14ac:dyDescent="0.25">
      <c r="A16" s="99" t="s">
        <v>268</v>
      </c>
      <c r="B16" s="100"/>
      <c r="C16" s="1361" t="s">
        <v>269</v>
      </c>
      <c r="D16" s="1361"/>
      <c r="E16" s="102"/>
      <c r="F16" s="103"/>
      <c r="G16" s="1225"/>
      <c r="H16" s="321"/>
      <c r="I16" s="105"/>
      <c r="J16" s="106">
        <f>SUM(J17:J23)</f>
        <v>21000000</v>
      </c>
      <c r="L16" s="1387" t="s">
        <v>348</v>
      </c>
      <c r="M16" s="1387"/>
      <c r="N16" s="1387"/>
      <c r="O16" s="1387"/>
      <c r="P16" s="1387"/>
      <c r="Q16" s="1387"/>
      <c r="R16" s="1387"/>
    </row>
    <row r="17" spans="1:18" ht="13.5" customHeight="1" x14ac:dyDescent="0.25">
      <c r="A17" s="107"/>
      <c r="B17" s="108"/>
      <c r="C17" s="109" t="s">
        <v>123</v>
      </c>
      <c r="D17" s="102" t="s">
        <v>271</v>
      </c>
      <c r="E17" s="110" t="s">
        <v>50</v>
      </c>
      <c r="F17" s="111"/>
      <c r="G17" s="112">
        <v>600</v>
      </c>
      <c r="H17" s="113" t="s">
        <v>458</v>
      </c>
      <c r="I17" s="114">
        <v>5000</v>
      </c>
      <c r="J17" s="114">
        <f>I17*G17</f>
        <v>3000000</v>
      </c>
      <c r="L17" s="1387"/>
      <c r="M17" s="1387"/>
      <c r="N17" s="1387"/>
      <c r="O17" s="1387"/>
      <c r="P17" s="1387"/>
      <c r="Q17" s="1387"/>
      <c r="R17" s="1387"/>
    </row>
    <row r="18" spans="1:18" ht="15.6" customHeight="1" x14ac:dyDescent="0.25">
      <c r="A18" s="89"/>
      <c r="B18" s="94"/>
      <c r="C18" s="109" t="s">
        <v>124</v>
      </c>
      <c r="D18" s="102" t="s">
        <v>272</v>
      </c>
      <c r="E18" s="110" t="s">
        <v>50</v>
      </c>
      <c r="F18" s="178"/>
      <c r="G18" s="116">
        <v>600</v>
      </c>
      <c r="H18" s="117" t="s">
        <v>458</v>
      </c>
      <c r="I18" s="118">
        <v>5000</v>
      </c>
      <c r="J18" s="118">
        <f t="shared" ref="J18:J23" si="0">I18*G18</f>
        <v>3000000</v>
      </c>
      <c r="L18" s="1387"/>
      <c r="M18" s="1387"/>
      <c r="N18" s="1387"/>
      <c r="O18" s="1387"/>
      <c r="P18" s="1387"/>
      <c r="Q18" s="1387"/>
      <c r="R18" s="1387"/>
    </row>
    <row r="19" spans="1:18" ht="14.1" customHeight="1" x14ac:dyDescent="0.25">
      <c r="A19" s="99"/>
      <c r="B19" s="100"/>
      <c r="C19" s="109" t="s">
        <v>125</v>
      </c>
      <c r="D19" s="102" t="s">
        <v>274</v>
      </c>
      <c r="E19" s="110" t="s">
        <v>50</v>
      </c>
      <c r="F19" s="111"/>
      <c r="G19" s="116">
        <v>600</v>
      </c>
      <c r="H19" s="117" t="s">
        <v>458</v>
      </c>
      <c r="I19" s="118">
        <v>5000</v>
      </c>
      <c r="J19" s="118">
        <f t="shared" si="0"/>
        <v>3000000</v>
      </c>
      <c r="L19" s="1387"/>
      <c r="M19" s="1387"/>
      <c r="N19" s="1387"/>
      <c r="O19" s="1387"/>
      <c r="P19" s="1387"/>
      <c r="Q19" s="1387"/>
      <c r="R19" s="1387"/>
    </row>
    <row r="20" spans="1:18" ht="14.1" customHeight="1" x14ac:dyDescent="0.25">
      <c r="A20" s="99"/>
      <c r="B20" s="100"/>
      <c r="C20" s="109" t="s">
        <v>126</v>
      </c>
      <c r="D20" s="102" t="s">
        <v>273</v>
      </c>
      <c r="E20" s="110" t="s">
        <v>50</v>
      </c>
      <c r="F20" s="111"/>
      <c r="G20" s="116">
        <v>600</v>
      </c>
      <c r="H20" s="117" t="s">
        <v>458</v>
      </c>
      <c r="I20" s="118">
        <v>5000</v>
      </c>
      <c r="J20" s="118">
        <f t="shared" si="0"/>
        <v>3000000</v>
      </c>
      <c r="L20" s="1387"/>
      <c r="M20" s="1387"/>
      <c r="N20" s="1387"/>
      <c r="O20" s="1387"/>
      <c r="P20" s="1387"/>
      <c r="Q20" s="1387"/>
      <c r="R20" s="1387"/>
    </row>
    <row r="21" spans="1:18" ht="14.1" customHeight="1" x14ac:dyDescent="0.25">
      <c r="A21" s="99"/>
      <c r="B21" s="100"/>
      <c r="C21" s="109" t="s">
        <v>127</v>
      </c>
      <c r="D21" s="102" t="s">
        <v>275</v>
      </c>
      <c r="E21" s="110" t="s">
        <v>50</v>
      </c>
      <c r="F21" s="111"/>
      <c r="G21" s="116">
        <v>600</v>
      </c>
      <c r="H21" s="117" t="s">
        <v>458</v>
      </c>
      <c r="I21" s="118">
        <v>5000</v>
      </c>
      <c r="J21" s="118">
        <f t="shared" si="0"/>
        <v>3000000</v>
      </c>
      <c r="L21" s="1387"/>
      <c r="M21" s="1387"/>
      <c r="N21" s="1387"/>
      <c r="O21" s="1387"/>
      <c r="P21" s="1387"/>
      <c r="Q21" s="1387"/>
      <c r="R21" s="1387"/>
    </row>
    <row r="22" spans="1:18" ht="14.1" customHeight="1" x14ac:dyDescent="0.25">
      <c r="A22" s="99"/>
      <c r="B22" s="100"/>
      <c r="C22" s="109" t="s">
        <v>128</v>
      </c>
      <c r="D22" s="102" t="s">
        <v>276</v>
      </c>
      <c r="E22" s="110" t="s">
        <v>50</v>
      </c>
      <c r="F22" s="111"/>
      <c r="G22" s="116">
        <v>600</v>
      </c>
      <c r="H22" s="117" t="s">
        <v>458</v>
      </c>
      <c r="I22" s="118">
        <v>5000</v>
      </c>
      <c r="J22" s="118">
        <f t="shared" si="0"/>
        <v>3000000</v>
      </c>
      <c r="L22" s="1387"/>
      <c r="M22" s="1387"/>
      <c r="N22" s="1387"/>
      <c r="O22" s="1387"/>
      <c r="P22" s="1387"/>
      <c r="Q22" s="1387"/>
      <c r="R22" s="1387"/>
    </row>
    <row r="23" spans="1:18" ht="14.1" customHeight="1" x14ac:dyDescent="0.25">
      <c r="A23" s="99"/>
      <c r="B23" s="214"/>
      <c r="C23" s="215" t="s">
        <v>270</v>
      </c>
      <c r="D23" s="201" t="s">
        <v>277</v>
      </c>
      <c r="E23" s="202" t="s">
        <v>50</v>
      </c>
      <c r="F23" s="203"/>
      <c r="G23" s="182">
        <v>600</v>
      </c>
      <c r="H23" s="204" t="s">
        <v>458</v>
      </c>
      <c r="I23" s="205">
        <v>5000</v>
      </c>
      <c r="J23" s="205">
        <f t="shared" si="0"/>
        <v>3000000</v>
      </c>
      <c r="L23" s="1387"/>
      <c r="M23" s="1387"/>
      <c r="N23" s="1387"/>
      <c r="O23" s="1387"/>
      <c r="P23" s="1387"/>
      <c r="Q23" s="1387"/>
      <c r="R23" s="1387"/>
    </row>
    <row r="24" spans="1:18" ht="14.1" customHeight="1" x14ac:dyDescent="0.25">
      <c r="A24" s="225" t="s">
        <v>264</v>
      </c>
      <c r="B24" s="1442" t="s">
        <v>278</v>
      </c>
      <c r="C24" s="1443"/>
      <c r="D24" s="1443"/>
      <c r="E24" s="1443"/>
      <c r="F24" s="1444"/>
      <c r="G24" s="207"/>
      <c r="H24" s="208"/>
      <c r="I24" s="209"/>
      <c r="J24" s="235">
        <f>J25</f>
        <v>21000000</v>
      </c>
      <c r="L24" s="1387"/>
      <c r="M24" s="1387"/>
      <c r="N24" s="1387"/>
      <c r="O24" s="1387"/>
      <c r="P24" s="1387"/>
      <c r="Q24" s="1387"/>
      <c r="R24" s="1387"/>
    </row>
    <row r="25" spans="1:18" ht="14.1" customHeight="1" x14ac:dyDescent="0.25">
      <c r="A25" s="89" t="s">
        <v>266</v>
      </c>
      <c r="B25" s="1371" t="s">
        <v>267</v>
      </c>
      <c r="C25" s="1372"/>
      <c r="D25" s="1372"/>
      <c r="E25" s="1372"/>
      <c r="F25" s="1423"/>
      <c r="G25" s="116"/>
      <c r="H25" s="117"/>
      <c r="I25" s="118"/>
      <c r="J25" s="118">
        <f>J26</f>
        <v>21000000</v>
      </c>
      <c r="L25" s="1387"/>
      <c r="M25" s="1387"/>
      <c r="N25" s="1387"/>
      <c r="O25" s="1387"/>
      <c r="P25" s="1387"/>
      <c r="Q25" s="1387"/>
      <c r="R25" s="1387"/>
    </row>
    <row r="26" spans="1:18" ht="14.1" customHeight="1" x14ac:dyDescent="0.25">
      <c r="A26" s="99" t="s">
        <v>268</v>
      </c>
      <c r="B26" s="100"/>
      <c r="C26" s="1361" t="s">
        <v>269</v>
      </c>
      <c r="D26" s="1361"/>
      <c r="E26" s="102"/>
      <c r="F26" s="103"/>
      <c r="G26" s="236"/>
      <c r="H26" s="237"/>
      <c r="I26" s="238"/>
      <c r="J26" s="205">
        <f>SUM(J27:J33)</f>
        <v>21000000</v>
      </c>
      <c r="L26" s="98"/>
      <c r="M26" s="98"/>
      <c r="N26" s="98"/>
      <c r="O26" s="98"/>
      <c r="P26" s="98"/>
      <c r="Q26" s="98"/>
      <c r="R26" s="98"/>
    </row>
    <row r="27" spans="1:18" ht="14.1" customHeight="1" x14ac:dyDescent="0.25">
      <c r="A27" s="107"/>
      <c r="B27" s="108"/>
      <c r="C27" s="109" t="s">
        <v>123</v>
      </c>
      <c r="D27" s="102" t="s">
        <v>516</v>
      </c>
      <c r="E27" s="110" t="s">
        <v>50</v>
      </c>
      <c r="F27" s="111"/>
      <c r="G27" s="116">
        <v>600</v>
      </c>
      <c r="H27" s="359" t="s">
        <v>458</v>
      </c>
      <c r="I27" s="118">
        <v>5000</v>
      </c>
      <c r="J27" s="118">
        <f t="shared" ref="J27:J33" si="1">I27*G27</f>
        <v>3000000</v>
      </c>
      <c r="L27" s="98"/>
      <c r="M27" s="98"/>
      <c r="N27" s="98"/>
      <c r="O27" s="98"/>
      <c r="P27" s="98"/>
      <c r="Q27" s="98"/>
      <c r="R27" s="98"/>
    </row>
    <row r="28" spans="1:18" ht="14.1" customHeight="1" x14ac:dyDescent="0.25">
      <c r="A28" s="107"/>
      <c r="B28" s="108"/>
      <c r="C28" s="109" t="s">
        <v>124</v>
      </c>
      <c r="D28" s="102" t="s">
        <v>517</v>
      </c>
      <c r="E28" s="110" t="s">
        <v>50</v>
      </c>
      <c r="F28" s="111"/>
      <c r="G28" s="116">
        <v>600</v>
      </c>
      <c r="H28" s="359" t="s">
        <v>458</v>
      </c>
      <c r="I28" s="118">
        <v>5000</v>
      </c>
      <c r="J28" s="118">
        <f t="shared" si="1"/>
        <v>3000000</v>
      </c>
      <c r="L28" s="98"/>
      <c r="M28" s="98"/>
      <c r="N28" s="98"/>
      <c r="O28" s="98"/>
      <c r="P28" s="98"/>
      <c r="Q28" s="98"/>
      <c r="R28" s="98"/>
    </row>
    <row r="29" spans="1:18" ht="14.1" customHeight="1" x14ac:dyDescent="0.25">
      <c r="A29" s="89"/>
      <c r="B29" s="94"/>
      <c r="C29" s="109" t="s">
        <v>125</v>
      </c>
      <c r="D29" s="102" t="s">
        <v>518</v>
      </c>
      <c r="E29" s="110" t="s">
        <v>50</v>
      </c>
      <c r="F29" s="178"/>
      <c r="G29" s="116">
        <v>600</v>
      </c>
      <c r="H29" s="359" t="s">
        <v>458</v>
      </c>
      <c r="I29" s="118">
        <v>5000</v>
      </c>
      <c r="J29" s="118">
        <f t="shared" si="1"/>
        <v>3000000</v>
      </c>
      <c r="L29" s="98"/>
      <c r="M29" s="98"/>
      <c r="N29" s="98"/>
      <c r="O29" s="98"/>
      <c r="P29" s="98"/>
      <c r="Q29" s="98"/>
      <c r="R29" s="98"/>
    </row>
    <row r="30" spans="1:18" ht="14.1" customHeight="1" x14ac:dyDescent="0.25">
      <c r="A30" s="89"/>
      <c r="B30" s="94"/>
      <c r="C30" s="109" t="s">
        <v>126</v>
      </c>
      <c r="D30" s="102" t="s">
        <v>519</v>
      </c>
      <c r="E30" s="110" t="s">
        <v>50</v>
      </c>
      <c r="F30" s="178"/>
      <c r="G30" s="116">
        <v>600</v>
      </c>
      <c r="H30" s="359" t="s">
        <v>458</v>
      </c>
      <c r="I30" s="118">
        <v>5000</v>
      </c>
      <c r="J30" s="118">
        <f t="shared" si="1"/>
        <v>3000000</v>
      </c>
      <c r="L30" s="98"/>
      <c r="M30" s="98"/>
      <c r="N30" s="98"/>
      <c r="O30" s="98"/>
      <c r="P30" s="98"/>
      <c r="Q30" s="98"/>
      <c r="R30" s="98"/>
    </row>
    <row r="31" spans="1:18" ht="14.1" customHeight="1" x14ac:dyDescent="0.25">
      <c r="A31" s="99"/>
      <c r="B31" s="100"/>
      <c r="C31" s="109" t="s">
        <v>127</v>
      </c>
      <c r="D31" s="102" t="s">
        <v>275</v>
      </c>
      <c r="E31" s="110" t="s">
        <v>50</v>
      </c>
      <c r="F31" s="111"/>
      <c r="G31" s="116">
        <v>600</v>
      </c>
      <c r="H31" s="359" t="s">
        <v>458</v>
      </c>
      <c r="I31" s="118">
        <v>5000</v>
      </c>
      <c r="J31" s="118">
        <f t="shared" si="1"/>
        <v>3000000</v>
      </c>
      <c r="L31" s="98"/>
      <c r="M31" s="98"/>
      <c r="N31" s="98"/>
      <c r="O31" s="98"/>
      <c r="P31" s="98"/>
      <c r="Q31" s="98"/>
      <c r="R31" s="98"/>
    </row>
    <row r="32" spans="1:18" ht="14.1" customHeight="1" x14ac:dyDescent="0.25">
      <c r="A32" s="99"/>
      <c r="B32" s="100"/>
      <c r="C32" s="109" t="s">
        <v>128</v>
      </c>
      <c r="D32" s="102" t="s">
        <v>279</v>
      </c>
      <c r="E32" s="110" t="s">
        <v>50</v>
      </c>
      <c r="F32" s="111"/>
      <c r="G32" s="116">
        <v>600</v>
      </c>
      <c r="H32" s="359" t="s">
        <v>458</v>
      </c>
      <c r="I32" s="118">
        <v>5000</v>
      </c>
      <c r="J32" s="118">
        <f t="shared" si="1"/>
        <v>3000000</v>
      </c>
      <c r="L32" s="98" t="s">
        <v>695</v>
      </c>
      <c r="M32" s="98"/>
      <c r="N32" s="98"/>
      <c r="O32" s="98"/>
      <c r="P32" s="98"/>
      <c r="Q32" s="98"/>
      <c r="R32" s="98"/>
    </row>
    <row r="33" spans="1:18" ht="14.1" customHeight="1" x14ac:dyDescent="0.25">
      <c r="A33" s="239"/>
      <c r="B33" s="214"/>
      <c r="C33" s="215" t="s">
        <v>270</v>
      </c>
      <c r="D33" s="201" t="s">
        <v>280</v>
      </c>
      <c r="E33" s="202" t="s">
        <v>50</v>
      </c>
      <c r="F33" s="203"/>
      <c r="G33" s="182">
        <v>600</v>
      </c>
      <c r="H33" s="381" t="s">
        <v>458</v>
      </c>
      <c r="I33" s="205">
        <v>5000</v>
      </c>
      <c r="J33" s="205">
        <f t="shared" si="1"/>
        <v>3000000</v>
      </c>
      <c r="L33" s="98" t="s">
        <v>694</v>
      </c>
      <c r="M33" s="98" t="s">
        <v>696</v>
      </c>
      <c r="N33" s="98">
        <v>2400000</v>
      </c>
      <c r="O33" s="98"/>
      <c r="P33" s="98"/>
      <c r="Q33" s="98"/>
      <c r="R33" s="98"/>
    </row>
    <row r="34" spans="1:18" ht="14.1" customHeight="1" x14ac:dyDescent="0.25">
      <c r="A34" s="1211"/>
      <c r="B34" s="1446" t="s">
        <v>772</v>
      </c>
      <c r="C34" s="1443"/>
      <c r="D34" s="1443"/>
      <c r="E34" s="1443"/>
      <c r="F34" s="1444"/>
      <c r="G34" s="1214"/>
      <c r="H34" s="1215"/>
      <c r="I34" s="1216"/>
      <c r="J34" s="1219">
        <f>J35</f>
        <v>2100000</v>
      </c>
      <c r="L34" s="98"/>
      <c r="M34" s="98"/>
      <c r="N34" s="98"/>
      <c r="O34" s="98"/>
      <c r="P34" s="98"/>
      <c r="Q34" s="98"/>
      <c r="R34" s="98"/>
    </row>
    <row r="35" spans="1:18" ht="14.1" customHeight="1" x14ac:dyDescent="0.25">
      <c r="A35" s="99"/>
      <c r="B35" s="1371" t="s">
        <v>267</v>
      </c>
      <c r="C35" s="1372"/>
      <c r="D35" s="1372"/>
      <c r="E35" s="1372"/>
      <c r="F35" s="1423"/>
      <c r="G35" s="116"/>
      <c r="H35" s="117"/>
      <c r="I35" s="118"/>
      <c r="J35" s="118">
        <f>J36</f>
        <v>2100000</v>
      </c>
      <c r="L35" s="98"/>
      <c r="M35" s="98"/>
      <c r="N35" s="98"/>
      <c r="O35" s="98"/>
      <c r="P35" s="98"/>
      <c r="Q35" s="98"/>
      <c r="R35" s="98"/>
    </row>
    <row r="36" spans="1:18" ht="14.1" customHeight="1" x14ac:dyDescent="0.25">
      <c r="A36" s="99"/>
      <c r="B36" s="100"/>
      <c r="C36" s="1361" t="s">
        <v>269</v>
      </c>
      <c r="D36" s="1361"/>
      <c r="E36" s="102"/>
      <c r="F36" s="103"/>
      <c r="G36" s="182"/>
      <c r="H36" s="204"/>
      <c r="I36" s="205"/>
      <c r="J36" s="205">
        <f>SUM(J37)</f>
        <v>2100000</v>
      </c>
      <c r="L36" s="98"/>
      <c r="M36" s="98"/>
      <c r="N36" s="98"/>
      <c r="O36" s="98"/>
      <c r="P36" s="98"/>
      <c r="Q36" s="98"/>
      <c r="R36" s="98"/>
    </row>
    <row r="37" spans="1:18" ht="14.1" customHeight="1" x14ac:dyDescent="0.25">
      <c r="A37" s="99"/>
      <c r="B37" s="100"/>
      <c r="C37" s="109" t="s">
        <v>123</v>
      </c>
      <c r="D37" s="352" t="s">
        <v>773</v>
      </c>
      <c r="E37" s="110" t="s">
        <v>50</v>
      </c>
      <c r="F37" s="111"/>
      <c r="G37" s="116">
        <v>60</v>
      </c>
      <c r="H37" s="117" t="s">
        <v>1052</v>
      </c>
      <c r="I37" s="118">
        <v>35000</v>
      </c>
      <c r="J37" s="118">
        <f t="shared" ref="J37" si="2">I37*G37</f>
        <v>2100000</v>
      </c>
      <c r="L37" s="98"/>
      <c r="M37" s="98"/>
      <c r="N37" s="98"/>
      <c r="O37" s="98"/>
      <c r="P37" s="98"/>
      <c r="Q37" s="98"/>
      <c r="R37" s="98"/>
    </row>
    <row r="38" spans="1:18" s="240" customFormat="1" ht="15" customHeight="1" x14ac:dyDescent="0.25">
      <c r="A38" s="1212"/>
      <c r="B38" s="1442" t="s">
        <v>689</v>
      </c>
      <c r="C38" s="1442"/>
      <c r="D38" s="1442"/>
      <c r="E38" s="1220"/>
      <c r="F38" s="1221"/>
      <c r="G38" s="1217"/>
      <c r="H38" s="1218"/>
      <c r="I38" s="227"/>
      <c r="J38" s="227">
        <f>J39</f>
        <v>7992000</v>
      </c>
      <c r="L38" s="241"/>
      <c r="M38" s="241"/>
      <c r="N38" s="241"/>
      <c r="O38" s="241"/>
      <c r="P38" s="241"/>
      <c r="Q38" s="241"/>
      <c r="R38" s="241"/>
    </row>
    <row r="39" spans="1:18" customFormat="1" ht="18.75" customHeight="1" x14ac:dyDescent="0.25">
      <c r="A39" s="99"/>
      <c r="B39" s="1445" t="s">
        <v>267</v>
      </c>
      <c r="C39" s="1445"/>
      <c r="D39" s="1445"/>
      <c r="E39" s="110"/>
      <c r="F39" s="111"/>
      <c r="G39" s="116"/>
      <c r="H39" s="117"/>
      <c r="I39" s="118"/>
      <c r="J39" s="118">
        <f>J40</f>
        <v>7992000</v>
      </c>
      <c r="L39" s="98"/>
      <c r="M39" s="98"/>
      <c r="N39" s="98"/>
      <c r="O39" s="98"/>
      <c r="P39" s="98"/>
      <c r="Q39" s="98"/>
      <c r="R39" s="98"/>
    </row>
    <row r="40" spans="1:18" customFormat="1" x14ac:dyDescent="0.25">
      <c r="A40" s="99"/>
      <c r="B40" s="100"/>
      <c r="C40" s="1361" t="s">
        <v>269</v>
      </c>
      <c r="D40" s="1361"/>
      <c r="E40" s="110"/>
      <c r="F40" s="111"/>
      <c r="G40" s="182"/>
      <c r="H40" s="204"/>
      <c r="I40" s="205"/>
      <c r="J40" s="205">
        <f>SUM(J41:J44)</f>
        <v>7992000</v>
      </c>
      <c r="L40" s="98"/>
      <c r="M40" s="98"/>
      <c r="N40" s="98"/>
      <c r="O40" s="98"/>
      <c r="P40" s="98"/>
      <c r="Q40" s="98"/>
      <c r="R40" s="98"/>
    </row>
    <row r="41" spans="1:18" customFormat="1" x14ac:dyDescent="0.25">
      <c r="A41" s="99"/>
      <c r="B41" s="100"/>
      <c r="C41" s="109" t="s">
        <v>123</v>
      </c>
      <c r="D41" s="101" t="s">
        <v>690</v>
      </c>
      <c r="E41" s="110" t="s">
        <v>50</v>
      </c>
      <c r="F41" s="111"/>
      <c r="G41" s="116">
        <v>14</v>
      </c>
      <c r="H41" s="117" t="s">
        <v>502</v>
      </c>
      <c r="I41" s="118">
        <v>110000</v>
      </c>
      <c r="J41" s="118">
        <f>I41*G41</f>
        <v>1540000</v>
      </c>
      <c r="L41" s="98"/>
      <c r="M41" s="98"/>
      <c r="N41" s="98"/>
      <c r="O41" s="98"/>
      <c r="P41" s="98"/>
      <c r="Q41" s="98"/>
      <c r="R41" s="98"/>
    </row>
    <row r="42" spans="1:18" customFormat="1" x14ac:dyDescent="0.25">
      <c r="A42" s="99"/>
      <c r="B42" s="100"/>
      <c r="C42" s="109" t="s">
        <v>124</v>
      </c>
      <c r="D42" s="101" t="s">
        <v>691</v>
      </c>
      <c r="E42" s="110" t="s">
        <v>50</v>
      </c>
      <c r="F42" s="111"/>
      <c r="G42" s="116">
        <v>35</v>
      </c>
      <c r="H42" s="117" t="s">
        <v>502</v>
      </c>
      <c r="I42" s="118">
        <v>180000</v>
      </c>
      <c r="J42" s="118">
        <f>I42*G42</f>
        <v>6300000</v>
      </c>
      <c r="L42" s="98"/>
      <c r="M42" s="98"/>
      <c r="N42" s="98"/>
      <c r="O42" s="98"/>
      <c r="P42" s="98"/>
      <c r="Q42" s="98"/>
      <c r="R42" s="98"/>
    </row>
    <row r="43" spans="1:18" customFormat="1" x14ac:dyDescent="0.25">
      <c r="A43" s="99"/>
      <c r="B43" s="100"/>
      <c r="C43" s="109" t="s">
        <v>125</v>
      </c>
      <c r="D43" s="100" t="s">
        <v>692</v>
      </c>
      <c r="E43" s="110" t="s">
        <v>50</v>
      </c>
      <c r="F43" s="111"/>
      <c r="G43" s="116">
        <v>4</v>
      </c>
      <c r="H43" s="117" t="s">
        <v>502</v>
      </c>
      <c r="I43" s="118">
        <v>20000</v>
      </c>
      <c r="J43" s="118">
        <f>I43*G43</f>
        <v>80000</v>
      </c>
      <c r="L43" s="98"/>
      <c r="M43" s="98"/>
      <c r="N43" s="98"/>
      <c r="O43" s="98"/>
      <c r="P43" s="98"/>
      <c r="Q43" s="98"/>
      <c r="R43" s="98"/>
    </row>
    <row r="44" spans="1:18" customFormat="1" x14ac:dyDescent="0.25">
      <c r="A44" s="99"/>
      <c r="B44" s="214"/>
      <c r="C44" s="215" t="s">
        <v>126</v>
      </c>
      <c r="D44" s="201" t="s">
        <v>693</v>
      </c>
      <c r="E44" s="202" t="s">
        <v>50</v>
      </c>
      <c r="F44" s="203"/>
      <c r="G44" s="182">
        <v>4</v>
      </c>
      <c r="H44" s="204" t="s">
        <v>502</v>
      </c>
      <c r="I44" s="205">
        <v>18000</v>
      </c>
      <c r="J44" s="205">
        <f>I44*G44</f>
        <v>72000</v>
      </c>
      <c r="L44" s="98"/>
      <c r="M44" s="98"/>
      <c r="N44" s="98"/>
      <c r="O44" s="98"/>
      <c r="P44" s="98"/>
      <c r="Q44" s="98"/>
      <c r="R44" s="98"/>
    </row>
    <row r="45" spans="1:18" customFormat="1" x14ac:dyDescent="0.25">
      <c r="A45" s="99"/>
      <c r="B45" s="1442" t="s">
        <v>712</v>
      </c>
      <c r="C45" s="1442"/>
      <c r="D45" s="1442"/>
      <c r="E45" s="110"/>
      <c r="F45" s="111"/>
      <c r="G45" s="116"/>
      <c r="H45" s="117"/>
      <c r="I45" s="118"/>
      <c r="J45" s="118"/>
      <c r="L45" s="98"/>
      <c r="M45" s="98"/>
      <c r="N45" s="98"/>
      <c r="O45" s="98"/>
      <c r="P45" s="98"/>
      <c r="Q45" s="98"/>
      <c r="R45" s="98"/>
    </row>
    <row r="46" spans="1:18" customFormat="1" x14ac:dyDescent="0.25">
      <c r="A46" s="99"/>
      <c r="B46" s="100"/>
      <c r="C46" s="1361" t="s">
        <v>207</v>
      </c>
      <c r="D46" s="1361"/>
      <c r="E46" s="110"/>
      <c r="F46" s="111"/>
      <c r="G46" s="182"/>
      <c r="H46" s="204"/>
      <c r="I46" s="205"/>
      <c r="J46" s="242">
        <f>SUM(J47)</f>
        <v>2400000</v>
      </c>
      <c r="L46" s="98"/>
      <c r="M46" s="98"/>
      <c r="N46" s="98"/>
      <c r="O46" s="98"/>
      <c r="P46" s="98"/>
      <c r="Q46" s="98"/>
      <c r="R46" s="98"/>
    </row>
    <row r="47" spans="1:18" customFormat="1" x14ac:dyDescent="0.25">
      <c r="A47" s="99"/>
      <c r="B47" s="100"/>
      <c r="C47" s="109" t="s">
        <v>123</v>
      </c>
      <c r="D47" s="101" t="s">
        <v>244</v>
      </c>
      <c r="E47" s="110" t="s">
        <v>50</v>
      </c>
      <c r="F47" s="111"/>
      <c r="G47" s="116">
        <v>240</v>
      </c>
      <c r="H47" s="117" t="s">
        <v>502</v>
      </c>
      <c r="I47" s="118">
        <v>10000</v>
      </c>
      <c r="J47" s="118">
        <f>I47*G47</f>
        <v>2400000</v>
      </c>
      <c r="L47" s="98"/>
      <c r="M47" s="98"/>
      <c r="N47" s="98"/>
      <c r="O47" s="98"/>
      <c r="P47" s="98"/>
      <c r="Q47" s="98"/>
      <c r="R47" s="98"/>
    </row>
    <row r="48" spans="1:18" customFormat="1" x14ac:dyDescent="0.25">
      <c r="A48" s="99"/>
      <c r="B48" s="1446" t="s">
        <v>774</v>
      </c>
      <c r="C48" s="1442"/>
      <c r="D48" s="1442"/>
      <c r="E48" s="110"/>
      <c r="F48" s="111"/>
      <c r="G48" s="116"/>
      <c r="H48" s="117"/>
      <c r="I48" s="118"/>
      <c r="J48" s="118"/>
      <c r="L48" s="98"/>
      <c r="M48" s="98"/>
      <c r="N48" s="98"/>
      <c r="O48" s="98"/>
      <c r="P48" s="98"/>
      <c r="Q48" s="98"/>
      <c r="R48" s="98"/>
    </row>
    <row r="49" spans="1:18" customFormat="1" x14ac:dyDescent="0.25">
      <c r="A49" s="99"/>
      <c r="B49" s="100"/>
      <c r="C49" s="1434" t="s">
        <v>775</v>
      </c>
      <c r="D49" s="1361"/>
      <c r="E49" s="110" t="s">
        <v>50</v>
      </c>
      <c r="F49" s="111"/>
      <c r="G49" s="182"/>
      <c r="H49" s="204"/>
      <c r="I49" s="205"/>
      <c r="J49" s="242">
        <f>SUM(J50)</f>
        <v>4800000</v>
      </c>
      <c r="L49" s="98"/>
      <c r="M49" s="98"/>
      <c r="N49" s="98"/>
      <c r="O49" s="98"/>
      <c r="P49" s="98"/>
      <c r="Q49" s="98"/>
      <c r="R49" s="98"/>
    </row>
    <row r="50" spans="1:18" customFormat="1" x14ac:dyDescent="0.25">
      <c r="A50" s="1213"/>
      <c r="B50" s="1223"/>
      <c r="C50" s="121" t="s">
        <v>123</v>
      </c>
      <c r="D50" s="1224" t="s">
        <v>776</v>
      </c>
      <c r="E50" s="1222" t="s">
        <v>50</v>
      </c>
      <c r="F50" s="124"/>
      <c r="G50" s="125">
        <v>24</v>
      </c>
      <c r="H50" s="126" t="s">
        <v>9</v>
      </c>
      <c r="I50" s="106">
        <v>200000</v>
      </c>
      <c r="J50" s="106">
        <f>I50*G50</f>
        <v>4800000</v>
      </c>
      <c r="L50" s="98"/>
      <c r="M50" s="98"/>
      <c r="N50" s="98"/>
      <c r="O50" s="98"/>
      <c r="P50" s="98"/>
      <c r="Q50" s="98"/>
      <c r="R50" s="98"/>
    </row>
    <row r="51" spans="1:18" s="79" customFormat="1" ht="20.85" customHeight="1" x14ac:dyDescent="0.25">
      <c r="A51" s="127"/>
      <c r="B51" s="1357" t="s">
        <v>15</v>
      </c>
      <c r="C51" s="1358"/>
      <c r="D51" s="1358"/>
      <c r="E51" s="1358"/>
      <c r="F51" s="80"/>
      <c r="G51" s="1357"/>
      <c r="H51" s="1362"/>
      <c r="I51" s="127"/>
      <c r="J51" s="88">
        <f>J13</f>
        <v>67284000</v>
      </c>
    </row>
    <row r="52" spans="1:18" s="79" customFormat="1" ht="9.75" customHeight="1" x14ac:dyDescent="0.25">
      <c r="A52" s="128"/>
      <c r="B52" s="128"/>
      <c r="C52" s="129"/>
      <c r="D52" s="78"/>
      <c r="E52" s="78"/>
      <c r="F52" s="78"/>
      <c r="G52" s="78"/>
      <c r="H52" s="78"/>
      <c r="I52" s="128"/>
      <c r="J52" s="130"/>
    </row>
    <row r="53" spans="1:18" s="79" customFormat="1" ht="14.25" customHeight="1" x14ac:dyDescent="0.25">
      <c r="A53" s="131"/>
      <c r="B53" s="131"/>
      <c r="C53" s="109"/>
      <c r="D53" s="132"/>
      <c r="E53" s="132"/>
      <c r="F53" s="132"/>
      <c r="G53" s="1359" t="s">
        <v>1002</v>
      </c>
      <c r="H53" s="1360"/>
      <c r="I53" s="1360"/>
      <c r="J53" s="1360"/>
    </row>
    <row r="54" spans="1:18" s="133" customFormat="1" ht="15" customHeight="1" x14ac:dyDescent="0.25">
      <c r="A54" s="1356" t="s">
        <v>11</v>
      </c>
      <c r="B54" s="1356"/>
      <c r="C54" s="1356"/>
      <c r="D54" s="1356"/>
      <c r="E54" s="134"/>
      <c r="F54" s="134"/>
      <c r="G54" s="1356" t="s">
        <v>21</v>
      </c>
      <c r="H54" s="1356"/>
      <c r="I54" s="1356"/>
      <c r="J54" s="1356"/>
    </row>
    <row r="58" spans="1:18" s="74" customFormat="1" ht="10.199999999999999" x14ac:dyDescent="0.25">
      <c r="A58" s="1355" t="s">
        <v>1000</v>
      </c>
      <c r="B58" s="1355"/>
      <c r="C58" s="1355"/>
      <c r="D58" s="1355"/>
      <c r="E58" s="167"/>
      <c r="G58" s="1355" t="s">
        <v>260</v>
      </c>
      <c r="H58" s="1355"/>
      <c r="I58" s="1355"/>
      <c r="J58" s="1355"/>
    </row>
  </sheetData>
  <mergeCells count="42">
    <mergeCell ref="A58:D58"/>
    <mergeCell ref="G58:J58"/>
    <mergeCell ref="C26:D26"/>
    <mergeCell ref="G51:H51"/>
    <mergeCell ref="B39:D39"/>
    <mergeCell ref="B45:D45"/>
    <mergeCell ref="B34:F34"/>
    <mergeCell ref="B35:F35"/>
    <mergeCell ref="C36:D36"/>
    <mergeCell ref="B48:D48"/>
    <mergeCell ref="C49:D49"/>
    <mergeCell ref="L2:N2"/>
    <mergeCell ref="M4:N4"/>
    <mergeCell ref="A1:J1"/>
    <mergeCell ref="B15:F15"/>
    <mergeCell ref="A2:J2"/>
    <mergeCell ref="D7:J7"/>
    <mergeCell ref="B10:F11"/>
    <mergeCell ref="G11:H11"/>
    <mergeCell ref="D5:J5"/>
    <mergeCell ref="B14:F14"/>
    <mergeCell ref="D8:J8"/>
    <mergeCell ref="D9:J9"/>
    <mergeCell ref="G12:H12"/>
    <mergeCell ref="G10:J10"/>
    <mergeCell ref="D6:J6"/>
    <mergeCell ref="B24:F24"/>
    <mergeCell ref="B25:F25"/>
    <mergeCell ref="G53:J53"/>
    <mergeCell ref="A54:D54"/>
    <mergeCell ref="M3:N3"/>
    <mergeCell ref="B12:F12"/>
    <mergeCell ref="A10:A11"/>
    <mergeCell ref="G54:J54"/>
    <mergeCell ref="B38:D38"/>
    <mergeCell ref="B51:E51"/>
    <mergeCell ref="C40:D40"/>
    <mergeCell ref="C46:D46"/>
    <mergeCell ref="C16:D16"/>
    <mergeCell ref="L16:R25"/>
    <mergeCell ref="B13:F13"/>
    <mergeCell ref="A3:J3"/>
  </mergeCells>
  <pageMargins left="0.8" right="0.65" top="0.68" bottom="0.75" header="0.3" footer="0.3"/>
  <pageSetup paperSize="14" fitToWidth="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M54"/>
  <sheetViews>
    <sheetView topLeftCell="A8" zoomScale="111" workbookViewId="0">
      <selection activeCell="A52" sqref="A52:D52"/>
    </sheetView>
  </sheetViews>
  <sheetFormatPr defaultColWidth="10" defaultRowHeight="13.8" x14ac:dyDescent="0.25"/>
  <cols>
    <col min="1" max="1" width="4.33203125" style="243" customWidth="1"/>
    <col min="2" max="2" width="12" style="243" customWidth="1"/>
    <col min="3" max="3" width="27.33203125" style="243" customWidth="1"/>
    <col min="4" max="4" width="10.44140625" style="243" customWidth="1"/>
    <col min="5" max="5" width="9.77734375" style="243" customWidth="1"/>
    <col min="6" max="6" width="24.6640625" style="243" customWidth="1"/>
    <col min="7" max="7" width="23.6640625" style="243" customWidth="1"/>
    <col min="8" max="8" width="11.77734375" style="244" bestFit="1" customWidth="1"/>
    <col min="9" max="9" width="15.6640625" style="244" bestFit="1" customWidth="1"/>
    <col min="10" max="10" width="23.44140625" style="244" customWidth="1"/>
    <col min="11" max="11" width="15.109375" style="244" bestFit="1" customWidth="1"/>
    <col min="12" max="12" width="9.33203125" style="244"/>
    <col min="13" max="13" width="28.44140625" style="244" customWidth="1"/>
    <col min="14" max="256" width="9.33203125" style="244"/>
    <col min="257" max="257" width="4.33203125" style="244" customWidth="1"/>
    <col min="258" max="258" width="12" style="244" customWidth="1"/>
    <col min="259" max="259" width="27.33203125" style="244" customWidth="1"/>
    <col min="260" max="260" width="10.44140625" style="244" customWidth="1"/>
    <col min="261" max="261" width="9.77734375" style="244" customWidth="1"/>
    <col min="262" max="262" width="24.6640625" style="244" customWidth="1"/>
    <col min="263" max="263" width="23.6640625" style="244" customWidth="1"/>
    <col min="264" max="264" width="11.77734375" style="244" bestFit="1" customWidth="1"/>
    <col min="265" max="265" width="15.6640625" style="244" bestFit="1" customWidth="1"/>
    <col min="266" max="266" width="11" style="244" bestFit="1" customWidth="1"/>
    <col min="267" max="267" width="15.109375" style="244" bestFit="1" customWidth="1"/>
    <col min="268" max="268" width="9.33203125" style="244"/>
    <col min="269" max="269" width="28.44140625" style="244" customWidth="1"/>
    <col min="270" max="512" width="9.33203125" style="244"/>
    <col min="513" max="513" width="4.33203125" style="244" customWidth="1"/>
    <col min="514" max="514" width="12" style="244" customWidth="1"/>
    <col min="515" max="515" width="27.33203125" style="244" customWidth="1"/>
    <col min="516" max="516" width="10.44140625" style="244" customWidth="1"/>
    <col min="517" max="517" width="9.77734375" style="244" customWidth="1"/>
    <col min="518" max="518" width="24.6640625" style="244" customWidth="1"/>
    <col min="519" max="519" width="23.6640625" style="244" customWidth="1"/>
    <col min="520" max="520" width="11.77734375" style="244" bestFit="1" customWidth="1"/>
    <col min="521" max="521" width="15.6640625" style="244" bestFit="1" customWidth="1"/>
    <col min="522" max="522" width="11" style="244" bestFit="1" customWidth="1"/>
    <col min="523" max="523" width="15.109375" style="244" bestFit="1" customWidth="1"/>
    <col min="524" max="524" width="9.33203125" style="244"/>
    <col min="525" max="525" width="28.44140625" style="244" customWidth="1"/>
    <col min="526" max="768" width="9.33203125" style="244"/>
    <col min="769" max="769" width="4.33203125" style="244" customWidth="1"/>
    <col min="770" max="770" width="12" style="244" customWidth="1"/>
    <col min="771" max="771" width="27.33203125" style="244" customWidth="1"/>
    <col min="772" max="772" width="10.44140625" style="244" customWidth="1"/>
    <col min="773" max="773" width="9.77734375" style="244" customWidth="1"/>
    <col min="774" max="774" width="24.6640625" style="244" customWidth="1"/>
    <col min="775" max="775" width="23.6640625" style="244" customWidth="1"/>
    <col min="776" max="776" width="11.77734375" style="244" bestFit="1" customWidth="1"/>
    <col min="777" max="777" width="15.6640625" style="244" bestFit="1" customWidth="1"/>
    <col min="778" max="778" width="11" style="244" bestFit="1" customWidth="1"/>
    <col min="779" max="779" width="15.109375" style="244" bestFit="1" customWidth="1"/>
    <col min="780" max="780" width="9.33203125" style="244"/>
    <col min="781" max="781" width="28.44140625" style="244" customWidth="1"/>
    <col min="782" max="1024" width="9.33203125" style="244"/>
    <col min="1025" max="1025" width="4.33203125" style="244" customWidth="1"/>
    <col min="1026" max="1026" width="12" style="244" customWidth="1"/>
    <col min="1027" max="1027" width="27.33203125" style="244" customWidth="1"/>
    <col min="1028" max="1028" width="10.44140625" style="244" customWidth="1"/>
    <col min="1029" max="1029" width="9.77734375" style="244" customWidth="1"/>
    <col min="1030" max="1030" width="24.6640625" style="244" customWidth="1"/>
    <col min="1031" max="1031" width="23.6640625" style="244" customWidth="1"/>
    <col min="1032" max="1032" width="11.77734375" style="244" bestFit="1" customWidth="1"/>
    <col min="1033" max="1033" width="15.6640625" style="244" bestFit="1" customWidth="1"/>
    <col min="1034" max="1034" width="11" style="244" bestFit="1" customWidth="1"/>
    <col min="1035" max="1035" width="15.109375" style="244" bestFit="1" customWidth="1"/>
    <col min="1036" max="1036" width="9.33203125" style="244"/>
    <col min="1037" max="1037" width="28.44140625" style="244" customWidth="1"/>
    <col min="1038" max="1280" width="9.33203125" style="244"/>
    <col min="1281" max="1281" width="4.33203125" style="244" customWidth="1"/>
    <col min="1282" max="1282" width="12" style="244" customWidth="1"/>
    <col min="1283" max="1283" width="27.33203125" style="244" customWidth="1"/>
    <col min="1284" max="1284" width="10.44140625" style="244" customWidth="1"/>
    <col min="1285" max="1285" width="9.77734375" style="244" customWidth="1"/>
    <col min="1286" max="1286" width="24.6640625" style="244" customWidth="1"/>
    <col min="1287" max="1287" width="23.6640625" style="244" customWidth="1"/>
    <col min="1288" max="1288" width="11.77734375" style="244" bestFit="1" customWidth="1"/>
    <col min="1289" max="1289" width="15.6640625" style="244" bestFit="1" customWidth="1"/>
    <col min="1290" max="1290" width="11" style="244" bestFit="1" customWidth="1"/>
    <col min="1291" max="1291" width="15.109375" style="244" bestFit="1" customWidth="1"/>
    <col min="1292" max="1292" width="9.33203125" style="244"/>
    <col min="1293" max="1293" width="28.44140625" style="244" customWidth="1"/>
    <col min="1294" max="1536" width="9.33203125" style="244"/>
    <col min="1537" max="1537" width="4.33203125" style="244" customWidth="1"/>
    <col min="1538" max="1538" width="12" style="244" customWidth="1"/>
    <col min="1539" max="1539" width="27.33203125" style="244" customWidth="1"/>
    <col min="1540" max="1540" width="10.44140625" style="244" customWidth="1"/>
    <col min="1541" max="1541" width="9.77734375" style="244" customWidth="1"/>
    <col min="1542" max="1542" width="24.6640625" style="244" customWidth="1"/>
    <col min="1543" max="1543" width="23.6640625" style="244" customWidth="1"/>
    <col min="1544" max="1544" width="11.77734375" style="244" bestFit="1" customWidth="1"/>
    <col min="1545" max="1545" width="15.6640625" style="244" bestFit="1" customWidth="1"/>
    <col min="1546" max="1546" width="11" style="244" bestFit="1" customWidth="1"/>
    <col min="1547" max="1547" width="15.109375" style="244" bestFit="1" customWidth="1"/>
    <col min="1548" max="1548" width="9.33203125" style="244"/>
    <col min="1549" max="1549" width="28.44140625" style="244" customWidth="1"/>
    <col min="1550" max="1792" width="9.33203125" style="244"/>
    <col min="1793" max="1793" width="4.33203125" style="244" customWidth="1"/>
    <col min="1794" max="1794" width="12" style="244" customWidth="1"/>
    <col min="1795" max="1795" width="27.33203125" style="244" customWidth="1"/>
    <col min="1796" max="1796" width="10.44140625" style="244" customWidth="1"/>
    <col min="1797" max="1797" width="9.77734375" style="244" customWidth="1"/>
    <col min="1798" max="1798" width="24.6640625" style="244" customWidth="1"/>
    <col min="1799" max="1799" width="23.6640625" style="244" customWidth="1"/>
    <col min="1800" max="1800" width="11.77734375" style="244" bestFit="1" customWidth="1"/>
    <col min="1801" max="1801" width="15.6640625" style="244" bestFit="1" customWidth="1"/>
    <col min="1802" max="1802" width="11" style="244" bestFit="1" customWidth="1"/>
    <col min="1803" max="1803" width="15.109375" style="244" bestFit="1" customWidth="1"/>
    <col min="1804" max="1804" width="9.33203125" style="244"/>
    <col min="1805" max="1805" width="28.44140625" style="244" customWidth="1"/>
    <col min="1806" max="2048" width="9.33203125" style="244"/>
    <col min="2049" max="2049" width="4.33203125" style="244" customWidth="1"/>
    <col min="2050" max="2050" width="12" style="244" customWidth="1"/>
    <col min="2051" max="2051" width="27.33203125" style="244" customWidth="1"/>
    <col min="2052" max="2052" width="10.44140625" style="244" customWidth="1"/>
    <col min="2053" max="2053" width="9.77734375" style="244" customWidth="1"/>
    <col min="2054" max="2054" width="24.6640625" style="244" customWidth="1"/>
    <col min="2055" max="2055" width="23.6640625" style="244" customWidth="1"/>
    <col min="2056" max="2056" width="11.77734375" style="244" bestFit="1" customWidth="1"/>
    <col min="2057" max="2057" width="15.6640625" style="244" bestFit="1" customWidth="1"/>
    <col min="2058" max="2058" width="11" style="244" bestFit="1" customWidth="1"/>
    <col min="2059" max="2059" width="15.109375" style="244" bestFit="1" customWidth="1"/>
    <col min="2060" max="2060" width="9.33203125" style="244"/>
    <col min="2061" max="2061" width="28.44140625" style="244" customWidth="1"/>
    <col min="2062" max="2304" width="9.33203125" style="244"/>
    <col min="2305" max="2305" width="4.33203125" style="244" customWidth="1"/>
    <col min="2306" max="2306" width="12" style="244" customWidth="1"/>
    <col min="2307" max="2307" width="27.33203125" style="244" customWidth="1"/>
    <col min="2308" max="2308" width="10.44140625" style="244" customWidth="1"/>
    <col min="2309" max="2309" width="9.77734375" style="244" customWidth="1"/>
    <col min="2310" max="2310" width="24.6640625" style="244" customWidth="1"/>
    <col min="2311" max="2311" width="23.6640625" style="244" customWidth="1"/>
    <col min="2312" max="2312" width="11.77734375" style="244" bestFit="1" customWidth="1"/>
    <col min="2313" max="2313" width="15.6640625" style="244" bestFit="1" customWidth="1"/>
    <col min="2314" max="2314" width="11" style="244" bestFit="1" customWidth="1"/>
    <col min="2315" max="2315" width="15.109375" style="244" bestFit="1" customWidth="1"/>
    <col min="2316" max="2316" width="9.33203125" style="244"/>
    <col min="2317" max="2317" width="28.44140625" style="244" customWidth="1"/>
    <col min="2318" max="2560" width="9.33203125" style="244"/>
    <col min="2561" max="2561" width="4.33203125" style="244" customWidth="1"/>
    <col min="2562" max="2562" width="12" style="244" customWidth="1"/>
    <col min="2563" max="2563" width="27.33203125" style="244" customWidth="1"/>
    <col min="2564" max="2564" width="10.44140625" style="244" customWidth="1"/>
    <col min="2565" max="2565" width="9.77734375" style="244" customWidth="1"/>
    <col min="2566" max="2566" width="24.6640625" style="244" customWidth="1"/>
    <col min="2567" max="2567" width="23.6640625" style="244" customWidth="1"/>
    <col min="2568" max="2568" width="11.77734375" style="244" bestFit="1" customWidth="1"/>
    <col min="2569" max="2569" width="15.6640625" style="244" bestFit="1" customWidth="1"/>
    <col min="2570" max="2570" width="11" style="244" bestFit="1" customWidth="1"/>
    <col min="2571" max="2571" width="15.109375" style="244" bestFit="1" customWidth="1"/>
    <col min="2572" max="2572" width="9.33203125" style="244"/>
    <col min="2573" max="2573" width="28.44140625" style="244" customWidth="1"/>
    <col min="2574" max="2816" width="9.33203125" style="244"/>
    <col min="2817" max="2817" width="4.33203125" style="244" customWidth="1"/>
    <col min="2818" max="2818" width="12" style="244" customWidth="1"/>
    <col min="2819" max="2819" width="27.33203125" style="244" customWidth="1"/>
    <col min="2820" max="2820" width="10.44140625" style="244" customWidth="1"/>
    <col min="2821" max="2821" width="9.77734375" style="244" customWidth="1"/>
    <col min="2822" max="2822" width="24.6640625" style="244" customWidth="1"/>
    <col min="2823" max="2823" width="23.6640625" style="244" customWidth="1"/>
    <col min="2824" max="2824" width="11.77734375" style="244" bestFit="1" customWidth="1"/>
    <col min="2825" max="2825" width="15.6640625" style="244" bestFit="1" customWidth="1"/>
    <col min="2826" max="2826" width="11" style="244" bestFit="1" customWidth="1"/>
    <col min="2827" max="2827" width="15.109375" style="244" bestFit="1" customWidth="1"/>
    <col min="2828" max="2828" width="9.33203125" style="244"/>
    <col min="2829" max="2829" width="28.44140625" style="244" customWidth="1"/>
    <col min="2830" max="3072" width="9.33203125" style="244"/>
    <col min="3073" max="3073" width="4.33203125" style="244" customWidth="1"/>
    <col min="3074" max="3074" width="12" style="244" customWidth="1"/>
    <col min="3075" max="3075" width="27.33203125" style="244" customWidth="1"/>
    <col min="3076" max="3076" width="10.44140625" style="244" customWidth="1"/>
    <col min="3077" max="3077" width="9.77734375" style="244" customWidth="1"/>
    <col min="3078" max="3078" width="24.6640625" style="244" customWidth="1"/>
    <col min="3079" max="3079" width="23.6640625" style="244" customWidth="1"/>
    <col min="3080" max="3080" width="11.77734375" style="244" bestFit="1" customWidth="1"/>
    <col min="3081" max="3081" width="15.6640625" style="244" bestFit="1" customWidth="1"/>
    <col min="3082" max="3082" width="11" style="244" bestFit="1" customWidth="1"/>
    <col min="3083" max="3083" width="15.109375" style="244" bestFit="1" customWidth="1"/>
    <col min="3084" max="3084" width="9.33203125" style="244"/>
    <col min="3085" max="3085" width="28.44140625" style="244" customWidth="1"/>
    <col min="3086" max="3328" width="9.33203125" style="244"/>
    <col min="3329" max="3329" width="4.33203125" style="244" customWidth="1"/>
    <col min="3330" max="3330" width="12" style="244" customWidth="1"/>
    <col min="3331" max="3331" width="27.33203125" style="244" customWidth="1"/>
    <col min="3332" max="3332" width="10.44140625" style="244" customWidth="1"/>
    <col min="3333" max="3333" width="9.77734375" style="244" customWidth="1"/>
    <col min="3334" max="3334" width="24.6640625" style="244" customWidth="1"/>
    <col min="3335" max="3335" width="23.6640625" style="244" customWidth="1"/>
    <col min="3336" max="3336" width="11.77734375" style="244" bestFit="1" customWidth="1"/>
    <col min="3337" max="3337" width="15.6640625" style="244" bestFit="1" customWidth="1"/>
    <col min="3338" max="3338" width="11" style="244" bestFit="1" customWidth="1"/>
    <col min="3339" max="3339" width="15.109375" style="244" bestFit="1" customWidth="1"/>
    <col min="3340" max="3340" width="9.33203125" style="244"/>
    <col min="3341" max="3341" width="28.44140625" style="244" customWidth="1"/>
    <col min="3342" max="3584" width="9.33203125" style="244"/>
    <col min="3585" max="3585" width="4.33203125" style="244" customWidth="1"/>
    <col min="3586" max="3586" width="12" style="244" customWidth="1"/>
    <col min="3587" max="3587" width="27.33203125" style="244" customWidth="1"/>
    <col min="3588" max="3588" width="10.44140625" style="244" customWidth="1"/>
    <col min="3589" max="3589" width="9.77734375" style="244" customWidth="1"/>
    <col min="3590" max="3590" width="24.6640625" style="244" customWidth="1"/>
    <col min="3591" max="3591" width="23.6640625" style="244" customWidth="1"/>
    <col min="3592" max="3592" width="11.77734375" style="244" bestFit="1" customWidth="1"/>
    <col min="3593" max="3593" width="15.6640625" style="244" bestFit="1" customWidth="1"/>
    <col min="3594" max="3594" width="11" style="244" bestFit="1" customWidth="1"/>
    <col min="3595" max="3595" width="15.109375" style="244" bestFit="1" customWidth="1"/>
    <col min="3596" max="3596" width="9.33203125" style="244"/>
    <col min="3597" max="3597" width="28.44140625" style="244" customWidth="1"/>
    <col min="3598" max="3840" width="9.33203125" style="244"/>
    <col min="3841" max="3841" width="4.33203125" style="244" customWidth="1"/>
    <col min="3842" max="3842" width="12" style="244" customWidth="1"/>
    <col min="3843" max="3843" width="27.33203125" style="244" customWidth="1"/>
    <col min="3844" max="3844" width="10.44140625" style="244" customWidth="1"/>
    <col min="3845" max="3845" width="9.77734375" style="244" customWidth="1"/>
    <col min="3846" max="3846" width="24.6640625" style="244" customWidth="1"/>
    <col min="3847" max="3847" width="23.6640625" style="244" customWidth="1"/>
    <col min="3848" max="3848" width="11.77734375" style="244" bestFit="1" customWidth="1"/>
    <col min="3849" max="3849" width="15.6640625" style="244" bestFit="1" customWidth="1"/>
    <col min="3850" max="3850" width="11" style="244" bestFit="1" customWidth="1"/>
    <col min="3851" max="3851" width="15.109375" style="244" bestFit="1" customWidth="1"/>
    <col min="3852" max="3852" width="9.33203125" style="244"/>
    <col min="3853" max="3853" width="28.44140625" style="244" customWidth="1"/>
    <col min="3854" max="4096" width="9.33203125" style="244"/>
    <col min="4097" max="4097" width="4.33203125" style="244" customWidth="1"/>
    <col min="4098" max="4098" width="12" style="244" customWidth="1"/>
    <col min="4099" max="4099" width="27.33203125" style="244" customWidth="1"/>
    <col min="4100" max="4100" width="10.44140625" style="244" customWidth="1"/>
    <col min="4101" max="4101" width="9.77734375" style="244" customWidth="1"/>
    <col min="4102" max="4102" width="24.6640625" style="244" customWidth="1"/>
    <col min="4103" max="4103" width="23.6640625" style="244" customWidth="1"/>
    <col min="4104" max="4104" width="11.77734375" style="244" bestFit="1" customWidth="1"/>
    <col min="4105" max="4105" width="15.6640625" style="244" bestFit="1" customWidth="1"/>
    <col min="4106" max="4106" width="11" style="244" bestFit="1" customWidth="1"/>
    <col min="4107" max="4107" width="15.109375" style="244" bestFit="1" customWidth="1"/>
    <col min="4108" max="4108" width="9.33203125" style="244"/>
    <col min="4109" max="4109" width="28.44140625" style="244" customWidth="1"/>
    <col min="4110" max="4352" width="9.33203125" style="244"/>
    <col min="4353" max="4353" width="4.33203125" style="244" customWidth="1"/>
    <col min="4354" max="4354" width="12" style="244" customWidth="1"/>
    <col min="4355" max="4355" width="27.33203125" style="244" customWidth="1"/>
    <col min="4356" max="4356" width="10.44140625" style="244" customWidth="1"/>
    <col min="4357" max="4357" width="9.77734375" style="244" customWidth="1"/>
    <col min="4358" max="4358" width="24.6640625" style="244" customWidth="1"/>
    <col min="4359" max="4359" width="23.6640625" style="244" customWidth="1"/>
    <col min="4360" max="4360" width="11.77734375" style="244" bestFit="1" customWidth="1"/>
    <col min="4361" max="4361" width="15.6640625" style="244" bestFit="1" customWidth="1"/>
    <col min="4362" max="4362" width="11" style="244" bestFit="1" customWidth="1"/>
    <col min="4363" max="4363" width="15.109375" style="244" bestFit="1" customWidth="1"/>
    <col min="4364" max="4364" width="9.33203125" style="244"/>
    <col min="4365" max="4365" width="28.44140625" style="244" customWidth="1"/>
    <col min="4366" max="4608" width="9.33203125" style="244"/>
    <col min="4609" max="4609" width="4.33203125" style="244" customWidth="1"/>
    <col min="4610" max="4610" width="12" style="244" customWidth="1"/>
    <col min="4611" max="4611" width="27.33203125" style="244" customWidth="1"/>
    <col min="4612" max="4612" width="10.44140625" style="244" customWidth="1"/>
    <col min="4613" max="4613" width="9.77734375" style="244" customWidth="1"/>
    <col min="4614" max="4614" width="24.6640625" style="244" customWidth="1"/>
    <col min="4615" max="4615" width="23.6640625" style="244" customWidth="1"/>
    <col min="4616" max="4616" width="11.77734375" style="244" bestFit="1" customWidth="1"/>
    <col min="4617" max="4617" width="15.6640625" style="244" bestFit="1" customWidth="1"/>
    <col min="4618" max="4618" width="11" style="244" bestFit="1" customWidth="1"/>
    <col min="4619" max="4619" width="15.109375" style="244" bestFit="1" customWidth="1"/>
    <col min="4620" max="4620" width="9.33203125" style="244"/>
    <col min="4621" max="4621" width="28.44140625" style="244" customWidth="1"/>
    <col min="4622" max="4864" width="9.33203125" style="244"/>
    <col min="4865" max="4865" width="4.33203125" style="244" customWidth="1"/>
    <col min="4866" max="4866" width="12" style="244" customWidth="1"/>
    <col min="4867" max="4867" width="27.33203125" style="244" customWidth="1"/>
    <col min="4868" max="4868" width="10.44140625" style="244" customWidth="1"/>
    <col min="4869" max="4869" width="9.77734375" style="244" customWidth="1"/>
    <col min="4870" max="4870" width="24.6640625" style="244" customWidth="1"/>
    <col min="4871" max="4871" width="23.6640625" style="244" customWidth="1"/>
    <col min="4872" max="4872" width="11.77734375" style="244" bestFit="1" customWidth="1"/>
    <col min="4873" max="4873" width="15.6640625" style="244" bestFit="1" customWidth="1"/>
    <col min="4874" max="4874" width="11" style="244" bestFit="1" customWidth="1"/>
    <col min="4875" max="4875" width="15.109375" style="244" bestFit="1" customWidth="1"/>
    <col min="4876" max="4876" width="9.33203125" style="244"/>
    <col min="4877" max="4877" width="28.44140625" style="244" customWidth="1"/>
    <col min="4878" max="5120" width="9.33203125" style="244"/>
    <col min="5121" max="5121" width="4.33203125" style="244" customWidth="1"/>
    <col min="5122" max="5122" width="12" style="244" customWidth="1"/>
    <col min="5123" max="5123" width="27.33203125" style="244" customWidth="1"/>
    <col min="5124" max="5124" width="10.44140625" style="244" customWidth="1"/>
    <col min="5125" max="5125" width="9.77734375" style="244" customWidth="1"/>
    <col min="5126" max="5126" width="24.6640625" style="244" customWidth="1"/>
    <col min="5127" max="5127" width="23.6640625" style="244" customWidth="1"/>
    <col min="5128" max="5128" width="11.77734375" style="244" bestFit="1" customWidth="1"/>
    <col min="5129" max="5129" width="15.6640625" style="244" bestFit="1" customWidth="1"/>
    <col min="5130" max="5130" width="11" style="244" bestFit="1" customWidth="1"/>
    <col min="5131" max="5131" width="15.109375" style="244" bestFit="1" customWidth="1"/>
    <col min="5132" max="5132" width="9.33203125" style="244"/>
    <col min="5133" max="5133" width="28.44140625" style="244" customWidth="1"/>
    <col min="5134" max="5376" width="9.33203125" style="244"/>
    <col min="5377" max="5377" width="4.33203125" style="244" customWidth="1"/>
    <col min="5378" max="5378" width="12" style="244" customWidth="1"/>
    <col min="5379" max="5379" width="27.33203125" style="244" customWidth="1"/>
    <col min="5380" max="5380" width="10.44140625" style="244" customWidth="1"/>
    <col min="5381" max="5381" width="9.77734375" style="244" customWidth="1"/>
    <col min="5382" max="5382" width="24.6640625" style="244" customWidth="1"/>
    <col min="5383" max="5383" width="23.6640625" style="244" customWidth="1"/>
    <col min="5384" max="5384" width="11.77734375" style="244" bestFit="1" customWidth="1"/>
    <col min="5385" max="5385" width="15.6640625" style="244" bestFit="1" customWidth="1"/>
    <col min="5386" max="5386" width="11" style="244" bestFit="1" customWidth="1"/>
    <col min="5387" max="5387" width="15.109375" style="244" bestFit="1" customWidth="1"/>
    <col min="5388" max="5388" width="9.33203125" style="244"/>
    <col min="5389" max="5389" width="28.44140625" style="244" customWidth="1"/>
    <col min="5390" max="5632" width="9.33203125" style="244"/>
    <col min="5633" max="5633" width="4.33203125" style="244" customWidth="1"/>
    <col min="5634" max="5634" width="12" style="244" customWidth="1"/>
    <col min="5635" max="5635" width="27.33203125" style="244" customWidth="1"/>
    <col min="5636" max="5636" width="10.44140625" style="244" customWidth="1"/>
    <col min="5637" max="5637" width="9.77734375" style="244" customWidth="1"/>
    <col min="5638" max="5638" width="24.6640625" style="244" customWidth="1"/>
    <col min="5639" max="5639" width="23.6640625" style="244" customWidth="1"/>
    <col min="5640" max="5640" width="11.77734375" style="244" bestFit="1" customWidth="1"/>
    <col min="5641" max="5641" width="15.6640625" style="244" bestFit="1" customWidth="1"/>
    <col min="5642" max="5642" width="11" style="244" bestFit="1" customWidth="1"/>
    <col min="5643" max="5643" width="15.109375" style="244" bestFit="1" customWidth="1"/>
    <col min="5644" max="5644" width="9.33203125" style="244"/>
    <col min="5645" max="5645" width="28.44140625" style="244" customWidth="1"/>
    <col min="5646" max="5888" width="9.33203125" style="244"/>
    <col min="5889" max="5889" width="4.33203125" style="244" customWidth="1"/>
    <col min="5890" max="5890" width="12" style="244" customWidth="1"/>
    <col min="5891" max="5891" width="27.33203125" style="244" customWidth="1"/>
    <col min="5892" max="5892" width="10.44140625" style="244" customWidth="1"/>
    <col min="5893" max="5893" width="9.77734375" style="244" customWidth="1"/>
    <col min="5894" max="5894" width="24.6640625" style="244" customWidth="1"/>
    <col min="5895" max="5895" width="23.6640625" style="244" customWidth="1"/>
    <col min="5896" max="5896" width="11.77734375" style="244" bestFit="1" customWidth="1"/>
    <col min="5897" max="5897" width="15.6640625" style="244" bestFit="1" customWidth="1"/>
    <col min="5898" max="5898" width="11" style="244" bestFit="1" customWidth="1"/>
    <col min="5899" max="5899" width="15.109375" style="244" bestFit="1" customWidth="1"/>
    <col min="5900" max="5900" width="9.33203125" style="244"/>
    <col min="5901" max="5901" width="28.44140625" style="244" customWidth="1"/>
    <col min="5902" max="6144" width="9.33203125" style="244"/>
    <col min="6145" max="6145" width="4.33203125" style="244" customWidth="1"/>
    <col min="6146" max="6146" width="12" style="244" customWidth="1"/>
    <col min="6147" max="6147" width="27.33203125" style="244" customWidth="1"/>
    <col min="6148" max="6148" width="10.44140625" style="244" customWidth="1"/>
    <col min="6149" max="6149" width="9.77734375" style="244" customWidth="1"/>
    <col min="6150" max="6150" width="24.6640625" style="244" customWidth="1"/>
    <col min="6151" max="6151" width="23.6640625" style="244" customWidth="1"/>
    <col min="6152" max="6152" width="11.77734375" style="244" bestFit="1" customWidth="1"/>
    <col min="6153" max="6153" width="15.6640625" style="244" bestFit="1" customWidth="1"/>
    <col min="6154" max="6154" width="11" style="244" bestFit="1" customWidth="1"/>
    <col min="6155" max="6155" width="15.109375" style="244" bestFit="1" customWidth="1"/>
    <col min="6156" max="6156" width="9.33203125" style="244"/>
    <col min="6157" max="6157" width="28.44140625" style="244" customWidth="1"/>
    <col min="6158" max="6400" width="9.33203125" style="244"/>
    <col min="6401" max="6401" width="4.33203125" style="244" customWidth="1"/>
    <col min="6402" max="6402" width="12" style="244" customWidth="1"/>
    <col min="6403" max="6403" width="27.33203125" style="244" customWidth="1"/>
    <col min="6404" max="6404" width="10.44140625" style="244" customWidth="1"/>
    <col min="6405" max="6405" width="9.77734375" style="244" customWidth="1"/>
    <col min="6406" max="6406" width="24.6640625" style="244" customWidth="1"/>
    <col min="6407" max="6407" width="23.6640625" style="244" customWidth="1"/>
    <col min="6408" max="6408" width="11.77734375" style="244" bestFit="1" customWidth="1"/>
    <col min="6409" max="6409" width="15.6640625" style="244" bestFit="1" customWidth="1"/>
    <col min="6410" max="6410" width="11" style="244" bestFit="1" customWidth="1"/>
    <col min="6411" max="6411" width="15.109375" style="244" bestFit="1" customWidth="1"/>
    <col min="6412" max="6412" width="9.33203125" style="244"/>
    <col min="6413" max="6413" width="28.44140625" style="244" customWidth="1"/>
    <col min="6414" max="6656" width="9.33203125" style="244"/>
    <col min="6657" max="6657" width="4.33203125" style="244" customWidth="1"/>
    <col min="6658" max="6658" width="12" style="244" customWidth="1"/>
    <col min="6659" max="6659" width="27.33203125" style="244" customWidth="1"/>
    <col min="6660" max="6660" width="10.44140625" style="244" customWidth="1"/>
    <col min="6661" max="6661" width="9.77734375" style="244" customWidth="1"/>
    <col min="6662" max="6662" width="24.6640625" style="244" customWidth="1"/>
    <col min="6663" max="6663" width="23.6640625" style="244" customWidth="1"/>
    <col min="6664" max="6664" width="11.77734375" style="244" bestFit="1" customWidth="1"/>
    <col min="6665" max="6665" width="15.6640625" style="244" bestFit="1" customWidth="1"/>
    <col min="6666" max="6666" width="11" style="244" bestFit="1" customWidth="1"/>
    <col min="6667" max="6667" width="15.109375" style="244" bestFit="1" customWidth="1"/>
    <col min="6668" max="6668" width="9.33203125" style="244"/>
    <col min="6669" max="6669" width="28.44140625" style="244" customWidth="1"/>
    <col min="6670" max="6912" width="9.33203125" style="244"/>
    <col min="6913" max="6913" width="4.33203125" style="244" customWidth="1"/>
    <col min="6914" max="6914" width="12" style="244" customWidth="1"/>
    <col min="6915" max="6915" width="27.33203125" style="244" customWidth="1"/>
    <col min="6916" max="6916" width="10.44140625" style="244" customWidth="1"/>
    <col min="6917" max="6917" width="9.77734375" style="244" customWidth="1"/>
    <col min="6918" max="6918" width="24.6640625" style="244" customWidth="1"/>
    <col min="6919" max="6919" width="23.6640625" style="244" customWidth="1"/>
    <col min="6920" max="6920" width="11.77734375" style="244" bestFit="1" customWidth="1"/>
    <col min="6921" max="6921" width="15.6640625" style="244" bestFit="1" customWidth="1"/>
    <col min="6922" max="6922" width="11" style="244" bestFit="1" customWidth="1"/>
    <col min="6923" max="6923" width="15.109375" style="244" bestFit="1" customWidth="1"/>
    <col min="6924" max="6924" width="9.33203125" style="244"/>
    <col min="6925" max="6925" width="28.44140625" style="244" customWidth="1"/>
    <col min="6926" max="7168" width="9.33203125" style="244"/>
    <col min="7169" max="7169" width="4.33203125" style="244" customWidth="1"/>
    <col min="7170" max="7170" width="12" style="244" customWidth="1"/>
    <col min="7171" max="7171" width="27.33203125" style="244" customWidth="1"/>
    <col min="7172" max="7172" width="10.44140625" style="244" customWidth="1"/>
    <col min="7173" max="7173" width="9.77734375" style="244" customWidth="1"/>
    <col min="7174" max="7174" width="24.6640625" style="244" customWidth="1"/>
    <col min="7175" max="7175" width="23.6640625" style="244" customWidth="1"/>
    <col min="7176" max="7176" width="11.77734375" style="244" bestFit="1" customWidth="1"/>
    <col min="7177" max="7177" width="15.6640625" style="244" bestFit="1" customWidth="1"/>
    <col min="7178" max="7178" width="11" style="244" bestFit="1" customWidth="1"/>
    <col min="7179" max="7179" width="15.109375" style="244" bestFit="1" customWidth="1"/>
    <col min="7180" max="7180" width="9.33203125" style="244"/>
    <col min="7181" max="7181" width="28.44140625" style="244" customWidth="1"/>
    <col min="7182" max="7424" width="9.33203125" style="244"/>
    <col min="7425" max="7425" width="4.33203125" style="244" customWidth="1"/>
    <col min="7426" max="7426" width="12" style="244" customWidth="1"/>
    <col min="7427" max="7427" width="27.33203125" style="244" customWidth="1"/>
    <col min="7428" max="7428" width="10.44140625" style="244" customWidth="1"/>
    <col min="7429" max="7429" width="9.77734375" style="244" customWidth="1"/>
    <col min="7430" max="7430" width="24.6640625" style="244" customWidth="1"/>
    <col min="7431" max="7431" width="23.6640625" style="244" customWidth="1"/>
    <col min="7432" max="7432" width="11.77734375" style="244" bestFit="1" customWidth="1"/>
    <col min="7433" max="7433" width="15.6640625" style="244" bestFit="1" customWidth="1"/>
    <col min="7434" max="7434" width="11" style="244" bestFit="1" customWidth="1"/>
    <col min="7435" max="7435" width="15.109375" style="244" bestFit="1" customWidth="1"/>
    <col min="7436" max="7436" width="9.33203125" style="244"/>
    <col min="7437" max="7437" width="28.44140625" style="244" customWidth="1"/>
    <col min="7438" max="7680" width="9.33203125" style="244"/>
    <col min="7681" max="7681" width="4.33203125" style="244" customWidth="1"/>
    <col min="7682" max="7682" width="12" style="244" customWidth="1"/>
    <col min="7683" max="7683" width="27.33203125" style="244" customWidth="1"/>
    <col min="7684" max="7684" width="10.44140625" style="244" customWidth="1"/>
    <col min="7685" max="7685" width="9.77734375" style="244" customWidth="1"/>
    <col min="7686" max="7686" width="24.6640625" style="244" customWidth="1"/>
    <col min="7687" max="7687" width="23.6640625" style="244" customWidth="1"/>
    <col min="7688" max="7688" width="11.77734375" style="244" bestFit="1" customWidth="1"/>
    <col min="7689" max="7689" width="15.6640625" style="244" bestFit="1" customWidth="1"/>
    <col min="7690" max="7690" width="11" style="244" bestFit="1" customWidth="1"/>
    <col min="7691" max="7691" width="15.109375" style="244" bestFit="1" customWidth="1"/>
    <col min="7692" max="7692" width="9.33203125" style="244"/>
    <col min="7693" max="7693" width="28.44140625" style="244" customWidth="1"/>
    <col min="7694" max="7936" width="9.33203125" style="244"/>
    <col min="7937" max="7937" width="4.33203125" style="244" customWidth="1"/>
    <col min="7938" max="7938" width="12" style="244" customWidth="1"/>
    <col min="7939" max="7939" width="27.33203125" style="244" customWidth="1"/>
    <col min="7940" max="7940" width="10.44140625" style="244" customWidth="1"/>
    <col min="7941" max="7941" width="9.77734375" style="244" customWidth="1"/>
    <col min="7942" max="7942" width="24.6640625" style="244" customWidth="1"/>
    <col min="7943" max="7943" width="23.6640625" style="244" customWidth="1"/>
    <col min="7944" max="7944" width="11.77734375" style="244" bestFit="1" customWidth="1"/>
    <col min="7945" max="7945" width="15.6640625" style="244" bestFit="1" customWidth="1"/>
    <col min="7946" max="7946" width="11" style="244" bestFit="1" customWidth="1"/>
    <col min="7947" max="7947" width="15.109375" style="244" bestFit="1" customWidth="1"/>
    <col min="7948" max="7948" width="9.33203125" style="244"/>
    <col min="7949" max="7949" width="28.44140625" style="244" customWidth="1"/>
    <col min="7950" max="8192" width="9.33203125" style="244"/>
    <col min="8193" max="8193" width="4.33203125" style="244" customWidth="1"/>
    <col min="8194" max="8194" width="12" style="244" customWidth="1"/>
    <col min="8195" max="8195" width="27.33203125" style="244" customWidth="1"/>
    <col min="8196" max="8196" width="10.44140625" style="244" customWidth="1"/>
    <col min="8197" max="8197" width="9.77734375" style="244" customWidth="1"/>
    <col min="8198" max="8198" width="24.6640625" style="244" customWidth="1"/>
    <col min="8199" max="8199" width="23.6640625" style="244" customWidth="1"/>
    <col min="8200" max="8200" width="11.77734375" style="244" bestFit="1" customWidth="1"/>
    <col min="8201" max="8201" width="15.6640625" style="244" bestFit="1" customWidth="1"/>
    <col min="8202" max="8202" width="11" style="244" bestFit="1" customWidth="1"/>
    <col min="8203" max="8203" width="15.109375" style="244" bestFit="1" customWidth="1"/>
    <col min="8204" max="8204" width="9.33203125" style="244"/>
    <col min="8205" max="8205" width="28.44140625" style="244" customWidth="1"/>
    <col min="8206" max="8448" width="9.33203125" style="244"/>
    <col min="8449" max="8449" width="4.33203125" style="244" customWidth="1"/>
    <col min="8450" max="8450" width="12" style="244" customWidth="1"/>
    <col min="8451" max="8451" width="27.33203125" style="244" customWidth="1"/>
    <col min="8452" max="8452" width="10.44140625" style="244" customWidth="1"/>
    <col min="8453" max="8453" width="9.77734375" style="244" customWidth="1"/>
    <col min="8454" max="8454" width="24.6640625" style="244" customWidth="1"/>
    <col min="8455" max="8455" width="23.6640625" style="244" customWidth="1"/>
    <col min="8456" max="8456" width="11.77734375" style="244" bestFit="1" customWidth="1"/>
    <col min="8457" max="8457" width="15.6640625" style="244" bestFit="1" customWidth="1"/>
    <col min="8458" max="8458" width="11" style="244" bestFit="1" customWidth="1"/>
    <col min="8459" max="8459" width="15.109375" style="244" bestFit="1" customWidth="1"/>
    <col min="8460" max="8460" width="9.33203125" style="244"/>
    <col min="8461" max="8461" width="28.44140625" style="244" customWidth="1"/>
    <col min="8462" max="8704" width="9.33203125" style="244"/>
    <col min="8705" max="8705" width="4.33203125" style="244" customWidth="1"/>
    <col min="8706" max="8706" width="12" style="244" customWidth="1"/>
    <col min="8707" max="8707" width="27.33203125" style="244" customWidth="1"/>
    <col min="8708" max="8708" width="10.44140625" style="244" customWidth="1"/>
    <col min="8709" max="8709" width="9.77734375" style="244" customWidth="1"/>
    <col min="8710" max="8710" width="24.6640625" style="244" customWidth="1"/>
    <col min="8711" max="8711" width="23.6640625" style="244" customWidth="1"/>
    <col min="8712" max="8712" width="11.77734375" style="244" bestFit="1" customWidth="1"/>
    <col min="8713" max="8713" width="15.6640625" style="244" bestFit="1" customWidth="1"/>
    <col min="8714" max="8714" width="11" style="244" bestFit="1" customWidth="1"/>
    <col min="8715" max="8715" width="15.109375" style="244" bestFit="1" customWidth="1"/>
    <col min="8716" max="8716" width="9.33203125" style="244"/>
    <col min="8717" max="8717" width="28.44140625" style="244" customWidth="1"/>
    <col min="8718" max="8960" width="9.33203125" style="244"/>
    <col min="8961" max="8961" width="4.33203125" style="244" customWidth="1"/>
    <col min="8962" max="8962" width="12" style="244" customWidth="1"/>
    <col min="8963" max="8963" width="27.33203125" style="244" customWidth="1"/>
    <col min="8964" max="8964" width="10.44140625" style="244" customWidth="1"/>
    <col min="8965" max="8965" width="9.77734375" style="244" customWidth="1"/>
    <col min="8966" max="8966" width="24.6640625" style="244" customWidth="1"/>
    <col min="8967" max="8967" width="23.6640625" style="244" customWidth="1"/>
    <col min="8968" max="8968" width="11.77734375" style="244" bestFit="1" customWidth="1"/>
    <col min="8969" max="8969" width="15.6640625" style="244" bestFit="1" customWidth="1"/>
    <col min="8970" max="8970" width="11" style="244" bestFit="1" customWidth="1"/>
    <col min="8971" max="8971" width="15.109375" style="244" bestFit="1" customWidth="1"/>
    <col min="8972" max="8972" width="9.33203125" style="244"/>
    <col min="8973" max="8973" width="28.44140625" style="244" customWidth="1"/>
    <col min="8974" max="9216" width="9.33203125" style="244"/>
    <col min="9217" max="9217" width="4.33203125" style="244" customWidth="1"/>
    <col min="9218" max="9218" width="12" style="244" customWidth="1"/>
    <col min="9219" max="9219" width="27.33203125" style="244" customWidth="1"/>
    <col min="9220" max="9220" width="10.44140625" style="244" customWidth="1"/>
    <col min="9221" max="9221" width="9.77734375" style="244" customWidth="1"/>
    <col min="9222" max="9222" width="24.6640625" style="244" customWidth="1"/>
    <col min="9223" max="9223" width="23.6640625" style="244" customWidth="1"/>
    <col min="9224" max="9224" width="11.77734375" style="244" bestFit="1" customWidth="1"/>
    <col min="9225" max="9225" width="15.6640625" style="244" bestFit="1" customWidth="1"/>
    <col min="9226" max="9226" width="11" style="244" bestFit="1" customWidth="1"/>
    <col min="9227" max="9227" width="15.109375" style="244" bestFit="1" customWidth="1"/>
    <col min="9228" max="9228" width="9.33203125" style="244"/>
    <col min="9229" max="9229" width="28.44140625" style="244" customWidth="1"/>
    <col min="9230" max="9472" width="9.33203125" style="244"/>
    <col min="9473" max="9473" width="4.33203125" style="244" customWidth="1"/>
    <col min="9474" max="9474" width="12" style="244" customWidth="1"/>
    <col min="9475" max="9475" width="27.33203125" style="244" customWidth="1"/>
    <col min="9476" max="9476" width="10.44140625" style="244" customWidth="1"/>
    <col min="9477" max="9477" width="9.77734375" style="244" customWidth="1"/>
    <col min="9478" max="9478" width="24.6640625" style="244" customWidth="1"/>
    <col min="9479" max="9479" width="23.6640625" style="244" customWidth="1"/>
    <col min="9480" max="9480" width="11.77734375" style="244" bestFit="1" customWidth="1"/>
    <col min="9481" max="9481" width="15.6640625" style="244" bestFit="1" customWidth="1"/>
    <col min="9482" max="9482" width="11" style="244" bestFit="1" customWidth="1"/>
    <col min="9483" max="9483" width="15.109375" style="244" bestFit="1" customWidth="1"/>
    <col min="9484" max="9484" width="9.33203125" style="244"/>
    <col min="9485" max="9485" width="28.44140625" style="244" customWidth="1"/>
    <col min="9486" max="9728" width="9.33203125" style="244"/>
    <col min="9729" max="9729" width="4.33203125" style="244" customWidth="1"/>
    <col min="9730" max="9730" width="12" style="244" customWidth="1"/>
    <col min="9731" max="9731" width="27.33203125" style="244" customWidth="1"/>
    <col min="9732" max="9732" width="10.44140625" style="244" customWidth="1"/>
    <col min="9733" max="9733" width="9.77734375" style="244" customWidth="1"/>
    <col min="9734" max="9734" width="24.6640625" style="244" customWidth="1"/>
    <col min="9735" max="9735" width="23.6640625" style="244" customWidth="1"/>
    <col min="9736" max="9736" width="11.77734375" style="244" bestFit="1" customWidth="1"/>
    <col min="9737" max="9737" width="15.6640625" style="244" bestFit="1" customWidth="1"/>
    <col min="9738" max="9738" width="11" style="244" bestFit="1" customWidth="1"/>
    <col min="9739" max="9739" width="15.109375" style="244" bestFit="1" customWidth="1"/>
    <col min="9740" max="9740" width="9.33203125" style="244"/>
    <col min="9741" max="9741" width="28.44140625" style="244" customWidth="1"/>
    <col min="9742" max="9984" width="9.33203125" style="244"/>
    <col min="9985" max="9985" width="4.33203125" style="244" customWidth="1"/>
    <col min="9986" max="9986" width="12" style="244" customWidth="1"/>
    <col min="9987" max="9987" width="27.33203125" style="244" customWidth="1"/>
    <col min="9988" max="9988" width="10.44140625" style="244" customWidth="1"/>
    <col min="9989" max="9989" width="9.77734375" style="244" customWidth="1"/>
    <col min="9990" max="9990" width="24.6640625" style="244" customWidth="1"/>
    <col min="9991" max="9991" width="23.6640625" style="244" customWidth="1"/>
    <col min="9992" max="9992" width="11.77734375" style="244" bestFit="1" customWidth="1"/>
    <col min="9993" max="9993" width="15.6640625" style="244" bestFit="1" customWidth="1"/>
    <col min="9994" max="9994" width="11" style="244" bestFit="1" customWidth="1"/>
    <col min="9995" max="9995" width="15.109375" style="244" bestFit="1" customWidth="1"/>
    <col min="9996" max="9996" width="9.33203125" style="244"/>
    <col min="9997" max="9997" width="28.44140625" style="244" customWidth="1"/>
    <col min="9998" max="10240" width="9.33203125" style="244"/>
    <col min="10241" max="10241" width="4.33203125" style="244" customWidth="1"/>
    <col min="10242" max="10242" width="12" style="244" customWidth="1"/>
    <col min="10243" max="10243" width="27.33203125" style="244" customWidth="1"/>
    <col min="10244" max="10244" width="10.44140625" style="244" customWidth="1"/>
    <col min="10245" max="10245" width="9.77734375" style="244" customWidth="1"/>
    <col min="10246" max="10246" width="24.6640625" style="244" customWidth="1"/>
    <col min="10247" max="10247" width="23.6640625" style="244" customWidth="1"/>
    <col min="10248" max="10248" width="11.77734375" style="244" bestFit="1" customWidth="1"/>
    <col min="10249" max="10249" width="15.6640625" style="244" bestFit="1" customWidth="1"/>
    <col min="10250" max="10250" width="11" style="244" bestFit="1" customWidth="1"/>
    <col min="10251" max="10251" width="15.109375" style="244" bestFit="1" customWidth="1"/>
    <col min="10252" max="10252" width="9.33203125" style="244"/>
    <col min="10253" max="10253" width="28.44140625" style="244" customWidth="1"/>
    <col min="10254" max="10496" width="9.33203125" style="244"/>
    <col min="10497" max="10497" width="4.33203125" style="244" customWidth="1"/>
    <col min="10498" max="10498" width="12" style="244" customWidth="1"/>
    <col min="10499" max="10499" width="27.33203125" style="244" customWidth="1"/>
    <col min="10500" max="10500" width="10.44140625" style="244" customWidth="1"/>
    <col min="10501" max="10501" width="9.77734375" style="244" customWidth="1"/>
    <col min="10502" max="10502" width="24.6640625" style="244" customWidth="1"/>
    <col min="10503" max="10503" width="23.6640625" style="244" customWidth="1"/>
    <col min="10504" max="10504" width="11.77734375" style="244" bestFit="1" customWidth="1"/>
    <col min="10505" max="10505" width="15.6640625" style="244" bestFit="1" customWidth="1"/>
    <col min="10506" max="10506" width="11" style="244" bestFit="1" customWidth="1"/>
    <col min="10507" max="10507" width="15.109375" style="244" bestFit="1" customWidth="1"/>
    <col min="10508" max="10508" width="9.33203125" style="244"/>
    <col min="10509" max="10509" width="28.44140625" style="244" customWidth="1"/>
    <col min="10510" max="10752" width="9.33203125" style="244"/>
    <col min="10753" max="10753" width="4.33203125" style="244" customWidth="1"/>
    <col min="10754" max="10754" width="12" style="244" customWidth="1"/>
    <col min="10755" max="10755" width="27.33203125" style="244" customWidth="1"/>
    <col min="10756" max="10756" width="10.44140625" style="244" customWidth="1"/>
    <col min="10757" max="10757" width="9.77734375" style="244" customWidth="1"/>
    <col min="10758" max="10758" width="24.6640625" style="244" customWidth="1"/>
    <col min="10759" max="10759" width="23.6640625" style="244" customWidth="1"/>
    <col min="10760" max="10760" width="11.77734375" style="244" bestFit="1" customWidth="1"/>
    <col min="10761" max="10761" width="15.6640625" style="244" bestFit="1" customWidth="1"/>
    <col min="10762" max="10762" width="11" style="244" bestFit="1" customWidth="1"/>
    <col min="10763" max="10763" width="15.109375" style="244" bestFit="1" customWidth="1"/>
    <col min="10764" max="10764" width="9.33203125" style="244"/>
    <col min="10765" max="10765" width="28.44140625" style="244" customWidth="1"/>
    <col min="10766" max="11008" width="9.33203125" style="244"/>
    <col min="11009" max="11009" width="4.33203125" style="244" customWidth="1"/>
    <col min="11010" max="11010" width="12" style="244" customWidth="1"/>
    <col min="11011" max="11011" width="27.33203125" style="244" customWidth="1"/>
    <col min="11012" max="11012" width="10.44140625" style="244" customWidth="1"/>
    <col min="11013" max="11013" width="9.77734375" style="244" customWidth="1"/>
    <col min="11014" max="11014" width="24.6640625" style="244" customWidth="1"/>
    <col min="11015" max="11015" width="23.6640625" style="244" customWidth="1"/>
    <col min="11016" max="11016" width="11.77734375" style="244" bestFit="1" customWidth="1"/>
    <col min="11017" max="11017" width="15.6640625" style="244" bestFit="1" customWidth="1"/>
    <col min="11018" max="11018" width="11" style="244" bestFit="1" customWidth="1"/>
    <col min="11019" max="11019" width="15.109375" style="244" bestFit="1" customWidth="1"/>
    <col min="11020" max="11020" width="9.33203125" style="244"/>
    <col min="11021" max="11021" width="28.44140625" style="244" customWidth="1"/>
    <col min="11022" max="11264" width="9.33203125" style="244"/>
    <col min="11265" max="11265" width="4.33203125" style="244" customWidth="1"/>
    <col min="11266" max="11266" width="12" style="244" customWidth="1"/>
    <col min="11267" max="11267" width="27.33203125" style="244" customWidth="1"/>
    <col min="11268" max="11268" width="10.44140625" style="244" customWidth="1"/>
    <col min="11269" max="11269" width="9.77734375" style="244" customWidth="1"/>
    <col min="11270" max="11270" width="24.6640625" style="244" customWidth="1"/>
    <col min="11271" max="11271" width="23.6640625" style="244" customWidth="1"/>
    <col min="11272" max="11272" width="11.77734375" style="244" bestFit="1" customWidth="1"/>
    <col min="11273" max="11273" width="15.6640625" style="244" bestFit="1" customWidth="1"/>
    <col min="11274" max="11274" width="11" style="244" bestFit="1" customWidth="1"/>
    <col min="11275" max="11275" width="15.109375" style="244" bestFit="1" customWidth="1"/>
    <col min="11276" max="11276" width="9.33203125" style="244"/>
    <col min="11277" max="11277" width="28.44140625" style="244" customWidth="1"/>
    <col min="11278" max="11520" width="9.33203125" style="244"/>
    <col min="11521" max="11521" width="4.33203125" style="244" customWidth="1"/>
    <col min="11522" max="11522" width="12" style="244" customWidth="1"/>
    <col min="11523" max="11523" width="27.33203125" style="244" customWidth="1"/>
    <col min="11524" max="11524" width="10.44140625" style="244" customWidth="1"/>
    <col min="11525" max="11525" width="9.77734375" style="244" customWidth="1"/>
    <col min="11526" max="11526" width="24.6640625" style="244" customWidth="1"/>
    <col min="11527" max="11527" width="23.6640625" style="244" customWidth="1"/>
    <col min="11528" max="11528" width="11.77734375" style="244" bestFit="1" customWidth="1"/>
    <col min="11529" max="11529" width="15.6640625" style="244" bestFit="1" customWidth="1"/>
    <col min="11530" max="11530" width="11" style="244" bestFit="1" customWidth="1"/>
    <col min="11531" max="11531" width="15.109375" style="244" bestFit="1" customWidth="1"/>
    <col min="11532" max="11532" width="9.33203125" style="244"/>
    <col min="11533" max="11533" width="28.44140625" style="244" customWidth="1"/>
    <col min="11534" max="11776" width="9.33203125" style="244"/>
    <col min="11777" max="11777" width="4.33203125" style="244" customWidth="1"/>
    <col min="11778" max="11778" width="12" style="244" customWidth="1"/>
    <col min="11779" max="11779" width="27.33203125" style="244" customWidth="1"/>
    <col min="11780" max="11780" width="10.44140625" style="244" customWidth="1"/>
    <col min="11781" max="11781" width="9.77734375" style="244" customWidth="1"/>
    <col min="11782" max="11782" width="24.6640625" style="244" customWidth="1"/>
    <col min="11783" max="11783" width="23.6640625" style="244" customWidth="1"/>
    <col min="11784" max="11784" width="11.77734375" style="244" bestFit="1" customWidth="1"/>
    <col min="11785" max="11785" width="15.6640625" style="244" bestFit="1" customWidth="1"/>
    <col min="11786" max="11786" width="11" style="244" bestFit="1" customWidth="1"/>
    <col min="11787" max="11787" width="15.109375" style="244" bestFit="1" customWidth="1"/>
    <col min="11788" max="11788" width="9.33203125" style="244"/>
    <col min="11789" max="11789" width="28.44140625" style="244" customWidth="1"/>
    <col min="11790" max="12032" width="9.33203125" style="244"/>
    <col min="12033" max="12033" width="4.33203125" style="244" customWidth="1"/>
    <col min="12034" max="12034" width="12" style="244" customWidth="1"/>
    <col min="12035" max="12035" width="27.33203125" style="244" customWidth="1"/>
    <col min="12036" max="12036" width="10.44140625" style="244" customWidth="1"/>
    <col min="12037" max="12037" width="9.77734375" style="244" customWidth="1"/>
    <col min="12038" max="12038" width="24.6640625" style="244" customWidth="1"/>
    <col min="12039" max="12039" width="23.6640625" style="244" customWidth="1"/>
    <col min="12040" max="12040" width="11.77734375" style="244" bestFit="1" customWidth="1"/>
    <col min="12041" max="12041" width="15.6640625" style="244" bestFit="1" customWidth="1"/>
    <col min="12042" max="12042" width="11" style="244" bestFit="1" customWidth="1"/>
    <col min="12043" max="12043" width="15.109375" style="244" bestFit="1" customWidth="1"/>
    <col min="12044" max="12044" width="9.33203125" style="244"/>
    <col min="12045" max="12045" width="28.44140625" style="244" customWidth="1"/>
    <col min="12046" max="12288" width="9.33203125" style="244"/>
    <col min="12289" max="12289" width="4.33203125" style="244" customWidth="1"/>
    <col min="12290" max="12290" width="12" style="244" customWidth="1"/>
    <col min="12291" max="12291" width="27.33203125" style="244" customWidth="1"/>
    <col min="12292" max="12292" width="10.44140625" style="244" customWidth="1"/>
    <col min="12293" max="12293" width="9.77734375" style="244" customWidth="1"/>
    <col min="12294" max="12294" width="24.6640625" style="244" customWidth="1"/>
    <col min="12295" max="12295" width="23.6640625" style="244" customWidth="1"/>
    <col min="12296" max="12296" width="11.77734375" style="244" bestFit="1" customWidth="1"/>
    <col min="12297" max="12297" width="15.6640625" style="244" bestFit="1" customWidth="1"/>
    <col min="12298" max="12298" width="11" style="244" bestFit="1" customWidth="1"/>
    <col min="12299" max="12299" width="15.109375" style="244" bestFit="1" customWidth="1"/>
    <col min="12300" max="12300" width="9.33203125" style="244"/>
    <col min="12301" max="12301" width="28.44140625" style="244" customWidth="1"/>
    <col min="12302" max="12544" width="9.33203125" style="244"/>
    <col min="12545" max="12545" width="4.33203125" style="244" customWidth="1"/>
    <col min="12546" max="12546" width="12" style="244" customWidth="1"/>
    <col min="12547" max="12547" width="27.33203125" style="244" customWidth="1"/>
    <col min="12548" max="12548" width="10.44140625" style="244" customWidth="1"/>
    <col min="12549" max="12549" width="9.77734375" style="244" customWidth="1"/>
    <col min="12550" max="12550" width="24.6640625" style="244" customWidth="1"/>
    <col min="12551" max="12551" width="23.6640625" style="244" customWidth="1"/>
    <col min="12552" max="12552" width="11.77734375" style="244" bestFit="1" customWidth="1"/>
    <col min="12553" max="12553" width="15.6640625" style="244" bestFit="1" customWidth="1"/>
    <col min="12554" max="12554" width="11" style="244" bestFit="1" customWidth="1"/>
    <col min="12555" max="12555" width="15.109375" style="244" bestFit="1" customWidth="1"/>
    <col min="12556" max="12556" width="9.33203125" style="244"/>
    <col min="12557" max="12557" width="28.44140625" style="244" customWidth="1"/>
    <col min="12558" max="12800" width="9.33203125" style="244"/>
    <col min="12801" max="12801" width="4.33203125" style="244" customWidth="1"/>
    <col min="12802" max="12802" width="12" style="244" customWidth="1"/>
    <col min="12803" max="12803" width="27.33203125" style="244" customWidth="1"/>
    <col min="12804" max="12804" width="10.44140625" style="244" customWidth="1"/>
    <col min="12805" max="12805" width="9.77734375" style="244" customWidth="1"/>
    <col min="12806" max="12806" width="24.6640625" style="244" customWidth="1"/>
    <col min="12807" max="12807" width="23.6640625" style="244" customWidth="1"/>
    <col min="12808" max="12808" width="11.77734375" style="244" bestFit="1" customWidth="1"/>
    <col min="12809" max="12809" width="15.6640625" style="244" bestFit="1" customWidth="1"/>
    <col min="12810" max="12810" width="11" style="244" bestFit="1" customWidth="1"/>
    <col min="12811" max="12811" width="15.109375" style="244" bestFit="1" customWidth="1"/>
    <col min="12812" max="12812" width="9.33203125" style="244"/>
    <col min="12813" max="12813" width="28.44140625" style="244" customWidth="1"/>
    <col min="12814" max="13056" width="9.33203125" style="244"/>
    <col min="13057" max="13057" width="4.33203125" style="244" customWidth="1"/>
    <col min="13058" max="13058" width="12" style="244" customWidth="1"/>
    <col min="13059" max="13059" width="27.33203125" style="244" customWidth="1"/>
    <col min="13060" max="13060" width="10.44140625" style="244" customWidth="1"/>
    <col min="13061" max="13061" width="9.77734375" style="244" customWidth="1"/>
    <col min="13062" max="13062" width="24.6640625" style="244" customWidth="1"/>
    <col min="13063" max="13063" width="23.6640625" style="244" customWidth="1"/>
    <col min="13064" max="13064" width="11.77734375" style="244" bestFit="1" customWidth="1"/>
    <col min="13065" max="13065" width="15.6640625" style="244" bestFit="1" customWidth="1"/>
    <col min="13066" max="13066" width="11" style="244" bestFit="1" customWidth="1"/>
    <col min="13067" max="13067" width="15.109375" style="244" bestFit="1" customWidth="1"/>
    <col min="13068" max="13068" width="9.33203125" style="244"/>
    <col min="13069" max="13069" width="28.44140625" style="244" customWidth="1"/>
    <col min="13070" max="13312" width="9.33203125" style="244"/>
    <col min="13313" max="13313" width="4.33203125" style="244" customWidth="1"/>
    <col min="13314" max="13314" width="12" style="244" customWidth="1"/>
    <col min="13315" max="13315" width="27.33203125" style="244" customWidth="1"/>
    <col min="13316" max="13316" width="10.44140625" style="244" customWidth="1"/>
    <col min="13317" max="13317" width="9.77734375" style="244" customWidth="1"/>
    <col min="13318" max="13318" width="24.6640625" style="244" customWidth="1"/>
    <col min="13319" max="13319" width="23.6640625" style="244" customWidth="1"/>
    <col min="13320" max="13320" width="11.77734375" style="244" bestFit="1" customWidth="1"/>
    <col min="13321" max="13321" width="15.6640625" style="244" bestFit="1" customWidth="1"/>
    <col min="13322" max="13322" width="11" style="244" bestFit="1" customWidth="1"/>
    <col min="13323" max="13323" width="15.109375" style="244" bestFit="1" customWidth="1"/>
    <col min="13324" max="13324" width="9.33203125" style="244"/>
    <col min="13325" max="13325" width="28.44140625" style="244" customWidth="1"/>
    <col min="13326" max="13568" width="9.33203125" style="244"/>
    <col min="13569" max="13569" width="4.33203125" style="244" customWidth="1"/>
    <col min="13570" max="13570" width="12" style="244" customWidth="1"/>
    <col min="13571" max="13571" width="27.33203125" style="244" customWidth="1"/>
    <col min="13572" max="13572" width="10.44140625" style="244" customWidth="1"/>
    <col min="13573" max="13573" width="9.77734375" style="244" customWidth="1"/>
    <col min="13574" max="13574" width="24.6640625" style="244" customWidth="1"/>
    <col min="13575" max="13575" width="23.6640625" style="244" customWidth="1"/>
    <col min="13576" max="13576" width="11.77734375" style="244" bestFit="1" customWidth="1"/>
    <col min="13577" max="13577" width="15.6640625" style="244" bestFit="1" customWidth="1"/>
    <col min="13578" max="13578" width="11" style="244" bestFit="1" customWidth="1"/>
    <col min="13579" max="13579" width="15.109375" style="244" bestFit="1" customWidth="1"/>
    <col min="13580" max="13580" width="9.33203125" style="244"/>
    <col min="13581" max="13581" width="28.44140625" style="244" customWidth="1"/>
    <col min="13582" max="13824" width="9.33203125" style="244"/>
    <col min="13825" max="13825" width="4.33203125" style="244" customWidth="1"/>
    <col min="13826" max="13826" width="12" style="244" customWidth="1"/>
    <col min="13827" max="13827" width="27.33203125" style="244" customWidth="1"/>
    <col min="13828" max="13828" width="10.44140625" style="244" customWidth="1"/>
    <col min="13829" max="13829" width="9.77734375" style="244" customWidth="1"/>
    <col min="13830" max="13830" width="24.6640625" style="244" customWidth="1"/>
    <col min="13831" max="13831" width="23.6640625" style="244" customWidth="1"/>
    <col min="13832" max="13832" width="11.77734375" style="244" bestFit="1" customWidth="1"/>
    <col min="13833" max="13833" width="15.6640625" style="244" bestFit="1" customWidth="1"/>
    <col min="13834" max="13834" width="11" style="244" bestFit="1" customWidth="1"/>
    <col min="13835" max="13835" width="15.109375" style="244" bestFit="1" customWidth="1"/>
    <col min="13836" max="13836" width="9.33203125" style="244"/>
    <col min="13837" max="13837" width="28.44140625" style="244" customWidth="1"/>
    <col min="13838" max="14080" width="9.33203125" style="244"/>
    <col min="14081" max="14081" width="4.33203125" style="244" customWidth="1"/>
    <col min="14082" max="14082" width="12" style="244" customWidth="1"/>
    <col min="14083" max="14083" width="27.33203125" style="244" customWidth="1"/>
    <col min="14084" max="14084" width="10.44140625" style="244" customWidth="1"/>
    <col min="14085" max="14085" width="9.77734375" style="244" customWidth="1"/>
    <col min="14086" max="14086" width="24.6640625" style="244" customWidth="1"/>
    <col min="14087" max="14087" width="23.6640625" style="244" customWidth="1"/>
    <col min="14088" max="14088" width="11.77734375" style="244" bestFit="1" customWidth="1"/>
    <col min="14089" max="14089" width="15.6640625" style="244" bestFit="1" customWidth="1"/>
    <col min="14090" max="14090" width="11" style="244" bestFit="1" customWidth="1"/>
    <col min="14091" max="14091" width="15.109375" style="244" bestFit="1" customWidth="1"/>
    <col min="14092" max="14092" width="9.33203125" style="244"/>
    <col min="14093" max="14093" width="28.44140625" style="244" customWidth="1"/>
    <col min="14094" max="14336" width="9.33203125" style="244"/>
    <col min="14337" max="14337" width="4.33203125" style="244" customWidth="1"/>
    <col min="14338" max="14338" width="12" style="244" customWidth="1"/>
    <col min="14339" max="14339" width="27.33203125" style="244" customWidth="1"/>
    <col min="14340" max="14340" width="10.44140625" style="244" customWidth="1"/>
    <col min="14341" max="14341" width="9.77734375" style="244" customWidth="1"/>
    <col min="14342" max="14342" width="24.6640625" style="244" customWidth="1"/>
    <col min="14343" max="14343" width="23.6640625" style="244" customWidth="1"/>
    <col min="14344" max="14344" width="11.77734375" style="244" bestFit="1" customWidth="1"/>
    <col min="14345" max="14345" width="15.6640625" style="244" bestFit="1" customWidth="1"/>
    <col min="14346" max="14346" width="11" style="244" bestFit="1" customWidth="1"/>
    <col min="14347" max="14347" width="15.109375" style="244" bestFit="1" customWidth="1"/>
    <col min="14348" max="14348" width="9.33203125" style="244"/>
    <col min="14349" max="14349" width="28.44140625" style="244" customWidth="1"/>
    <col min="14350" max="14592" width="9.33203125" style="244"/>
    <col min="14593" max="14593" width="4.33203125" style="244" customWidth="1"/>
    <col min="14594" max="14594" width="12" style="244" customWidth="1"/>
    <col min="14595" max="14595" width="27.33203125" style="244" customWidth="1"/>
    <col min="14596" max="14596" width="10.44140625" style="244" customWidth="1"/>
    <col min="14597" max="14597" width="9.77734375" style="244" customWidth="1"/>
    <col min="14598" max="14598" width="24.6640625" style="244" customWidth="1"/>
    <col min="14599" max="14599" width="23.6640625" style="244" customWidth="1"/>
    <col min="14600" max="14600" width="11.77734375" style="244" bestFit="1" customWidth="1"/>
    <col min="14601" max="14601" width="15.6640625" style="244" bestFit="1" customWidth="1"/>
    <col min="14602" max="14602" width="11" style="244" bestFit="1" customWidth="1"/>
    <col min="14603" max="14603" width="15.109375" style="244" bestFit="1" customWidth="1"/>
    <col min="14604" max="14604" width="9.33203125" style="244"/>
    <col min="14605" max="14605" width="28.44140625" style="244" customWidth="1"/>
    <col min="14606" max="14848" width="9.33203125" style="244"/>
    <col min="14849" max="14849" width="4.33203125" style="244" customWidth="1"/>
    <col min="14850" max="14850" width="12" style="244" customWidth="1"/>
    <col min="14851" max="14851" width="27.33203125" style="244" customWidth="1"/>
    <col min="14852" max="14852" width="10.44140625" style="244" customWidth="1"/>
    <col min="14853" max="14853" width="9.77734375" style="244" customWidth="1"/>
    <col min="14854" max="14854" width="24.6640625" style="244" customWidth="1"/>
    <col min="14855" max="14855" width="23.6640625" style="244" customWidth="1"/>
    <col min="14856" max="14856" width="11.77734375" style="244" bestFit="1" customWidth="1"/>
    <col min="14857" max="14857" width="15.6640625" style="244" bestFit="1" customWidth="1"/>
    <col min="14858" max="14858" width="11" style="244" bestFit="1" customWidth="1"/>
    <col min="14859" max="14859" width="15.109375" style="244" bestFit="1" customWidth="1"/>
    <col min="14860" max="14860" width="9.33203125" style="244"/>
    <col min="14861" max="14861" width="28.44140625" style="244" customWidth="1"/>
    <col min="14862" max="15104" width="9.33203125" style="244"/>
    <col min="15105" max="15105" width="4.33203125" style="244" customWidth="1"/>
    <col min="15106" max="15106" width="12" style="244" customWidth="1"/>
    <col min="15107" max="15107" width="27.33203125" style="244" customWidth="1"/>
    <col min="15108" max="15108" width="10.44140625" style="244" customWidth="1"/>
    <col min="15109" max="15109" width="9.77734375" style="244" customWidth="1"/>
    <col min="15110" max="15110" width="24.6640625" style="244" customWidth="1"/>
    <col min="15111" max="15111" width="23.6640625" style="244" customWidth="1"/>
    <col min="15112" max="15112" width="11.77734375" style="244" bestFit="1" customWidth="1"/>
    <col min="15113" max="15113" width="15.6640625" style="244" bestFit="1" customWidth="1"/>
    <col min="15114" max="15114" width="11" style="244" bestFit="1" customWidth="1"/>
    <col min="15115" max="15115" width="15.109375" style="244" bestFit="1" customWidth="1"/>
    <col min="15116" max="15116" width="9.33203125" style="244"/>
    <col min="15117" max="15117" width="28.44140625" style="244" customWidth="1"/>
    <col min="15118" max="15360" width="9.33203125" style="244"/>
    <col min="15361" max="15361" width="4.33203125" style="244" customWidth="1"/>
    <col min="15362" max="15362" width="12" style="244" customWidth="1"/>
    <col min="15363" max="15363" width="27.33203125" style="244" customWidth="1"/>
    <col min="15364" max="15364" width="10.44140625" style="244" customWidth="1"/>
    <col min="15365" max="15365" width="9.77734375" style="244" customWidth="1"/>
    <col min="15366" max="15366" width="24.6640625" style="244" customWidth="1"/>
    <col min="15367" max="15367" width="23.6640625" style="244" customWidth="1"/>
    <col min="15368" max="15368" width="11.77734375" style="244" bestFit="1" customWidth="1"/>
    <col min="15369" max="15369" width="15.6640625" style="244" bestFit="1" customWidth="1"/>
    <col min="15370" max="15370" width="11" style="244" bestFit="1" customWidth="1"/>
    <col min="15371" max="15371" width="15.109375" style="244" bestFit="1" customWidth="1"/>
    <col min="15372" max="15372" width="9.33203125" style="244"/>
    <col min="15373" max="15373" width="28.44140625" style="244" customWidth="1"/>
    <col min="15374" max="15616" width="9.33203125" style="244"/>
    <col min="15617" max="15617" width="4.33203125" style="244" customWidth="1"/>
    <col min="15618" max="15618" width="12" style="244" customWidth="1"/>
    <col min="15619" max="15619" width="27.33203125" style="244" customWidth="1"/>
    <col min="15620" max="15620" width="10.44140625" style="244" customWidth="1"/>
    <col min="15621" max="15621" width="9.77734375" style="244" customWidth="1"/>
    <col min="15622" max="15622" width="24.6640625" style="244" customWidth="1"/>
    <col min="15623" max="15623" width="23.6640625" style="244" customWidth="1"/>
    <col min="15624" max="15624" width="11.77734375" style="244" bestFit="1" customWidth="1"/>
    <col min="15625" max="15625" width="15.6640625" style="244" bestFit="1" customWidth="1"/>
    <col min="15626" max="15626" width="11" style="244" bestFit="1" customWidth="1"/>
    <col min="15627" max="15627" width="15.109375" style="244" bestFit="1" customWidth="1"/>
    <col min="15628" max="15628" width="9.33203125" style="244"/>
    <col min="15629" max="15629" width="28.44140625" style="244" customWidth="1"/>
    <col min="15630" max="15872" width="9.33203125" style="244"/>
    <col min="15873" max="15873" width="4.33203125" style="244" customWidth="1"/>
    <col min="15874" max="15874" width="12" style="244" customWidth="1"/>
    <col min="15875" max="15875" width="27.33203125" style="244" customWidth="1"/>
    <col min="15876" max="15876" width="10.44140625" style="244" customWidth="1"/>
    <col min="15877" max="15877" width="9.77734375" style="244" customWidth="1"/>
    <col min="15878" max="15878" width="24.6640625" style="244" customWidth="1"/>
    <col min="15879" max="15879" width="23.6640625" style="244" customWidth="1"/>
    <col min="15880" max="15880" width="11.77734375" style="244" bestFit="1" customWidth="1"/>
    <col min="15881" max="15881" width="15.6640625" style="244" bestFit="1" customWidth="1"/>
    <col min="15882" max="15882" width="11" style="244" bestFit="1" customWidth="1"/>
    <col min="15883" max="15883" width="15.109375" style="244" bestFit="1" customWidth="1"/>
    <col min="15884" max="15884" width="9.33203125" style="244"/>
    <col min="15885" max="15885" width="28.44140625" style="244" customWidth="1"/>
    <col min="15886" max="16128" width="9.33203125" style="244"/>
    <col min="16129" max="16129" width="4.33203125" style="244" customWidth="1"/>
    <col min="16130" max="16130" width="12" style="244" customWidth="1"/>
    <col min="16131" max="16131" width="27.33203125" style="244" customWidth="1"/>
    <col min="16132" max="16132" width="10.44140625" style="244" customWidth="1"/>
    <col min="16133" max="16133" width="9.77734375" style="244" customWidth="1"/>
    <col min="16134" max="16134" width="24.6640625" style="244" customWidth="1"/>
    <col min="16135" max="16135" width="23.6640625" style="244" customWidth="1"/>
    <col min="16136" max="16136" width="11.77734375" style="244" bestFit="1" customWidth="1"/>
    <col min="16137" max="16137" width="15.6640625" style="244" bestFit="1" customWidth="1"/>
    <col min="16138" max="16138" width="11" style="244" bestFit="1" customWidth="1"/>
    <col min="16139" max="16139" width="15.109375" style="244" bestFit="1" customWidth="1"/>
    <col min="16140" max="16140" width="9.33203125" style="244"/>
    <col min="16141" max="16141" width="28.44140625" style="244" customWidth="1"/>
    <col min="16142" max="16384" width="9.33203125" style="244"/>
  </cols>
  <sheetData>
    <row r="1" spans="1:11" ht="14.4" x14ac:dyDescent="0.25">
      <c r="A1" s="245"/>
      <c r="B1" s="245"/>
      <c r="C1" s="245"/>
      <c r="D1" s="246"/>
      <c r="E1" s="246"/>
      <c r="F1" s="246"/>
      <c r="G1" s="246"/>
    </row>
    <row r="2" spans="1:11" ht="17.399999999999999" x14ac:dyDescent="0.25">
      <c r="A2" s="1450" t="s">
        <v>534</v>
      </c>
      <c r="B2" s="1450"/>
      <c r="C2" s="1450"/>
      <c r="D2" s="1450"/>
      <c r="E2" s="1450"/>
      <c r="F2" s="1450"/>
      <c r="G2" s="1450"/>
      <c r="I2" s="244" t="s">
        <v>586</v>
      </c>
    </row>
    <row r="3" spans="1:11" x14ac:dyDescent="0.25">
      <c r="A3" s="421"/>
      <c r="B3" s="421"/>
      <c r="C3" s="421"/>
      <c r="D3" s="421"/>
      <c r="E3" s="421"/>
      <c r="F3" s="421"/>
      <c r="G3" s="421"/>
      <c r="I3" s="244" t="s">
        <v>587</v>
      </c>
      <c r="J3" s="247">
        <f>G45</f>
        <v>84804800</v>
      </c>
    </row>
    <row r="4" spans="1:11" x14ac:dyDescent="0.25">
      <c r="A4" s="421" t="s">
        <v>535</v>
      </c>
      <c r="B4" s="421"/>
      <c r="C4" s="421" t="str">
        <f>[8]DATA!D13</f>
        <v>: Jawa Timur</v>
      </c>
      <c r="D4" s="421"/>
      <c r="E4" s="421"/>
      <c r="F4" s="422" t="s">
        <v>642</v>
      </c>
      <c r="G4" s="422" t="s">
        <v>795</v>
      </c>
    </row>
    <row r="5" spans="1:11" x14ac:dyDescent="0.25">
      <c r="A5" s="421" t="s">
        <v>536</v>
      </c>
      <c r="B5" s="421"/>
      <c r="C5" s="421" t="str">
        <f>[8]DATA!D12</f>
        <v>: Malang</v>
      </c>
      <c r="D5" s="421"/>
      <c r="E5" s="421"/>
      <c r="F5" s="422" t="s">
        <v>537</v>
      </c>
      <c r="G5" s="422" t="str">
        <f>[9]DATA!D26</f>
        <v>: P3MD Kemendesa</v>
      </c>
    </row>
    <row r="6" spans="1:11" x14ac:dyDescent="0.25">
      <c r="A6" s="421" t="s">
        <v>538</v>
      </c>
      <c r="B6" s="421"/>
      <c r="C6" s="421" t="str">
        <f>[9]DATA!D11</f>
        <v>: Wagir</v>
      </c>
      <c r="D6" s="421"/>
      <c r="E6" s="421"/>
      <c r="F6" s="422" t="s">
        <v>28</v>
      </c>
      <c r="G6" s="422" t="str">
        <f>[9]DATA!C35</f>
        <v xml:space="preserve">: Drainase Beton </v>
      </c>
    </row>
    <row r="7" spans="1:11" x14ac:dyDescent="0.25">
      <c r="A7" s="421" t="s">
        <v>43</v>
      </c>
      <c r="B7" s="421"/>
      <c r="C7" s="421" t="str">
        <f>[9]DATA!D10</f>
        <v>: Pandanlandung</v>
      </c>
      <c r="D7" s="421"/>
      <c r="E7" s="421"/>
      <c r="F7" s="422" t="s">
        <v>539</v>
      </c>
      <c r="G7" s="422" t="str">
        <f>[9]DATA!D35</f>
        <v>: 85 m x 1,2 m x 1,2 m</v>
      </c>
    </row>
    <row r="8" spans="1:11" ht="14.4" thickBot="1" x14ac:dyDescent="0.3">
      <c r="A8" s="421"/>
      <c r="B8" s="421"/>
      <c r="C8" s="421"/>
      <c r="D8" s="421"/>
      <c r="E8" s="421"/>
      <c r="F8" s="421"/>
      <c r="G8" s="421"/>
    </row>
    <row r="9" spans="1:11" ht="24" customHeight="1" x14ac:dyDescent="0.25">
      <c r="A9" s="1454" t="s">
        <v>540</v>
      </c>
      <c r="B9" s="1454"/>
      <c r="C9" s="1454"/>
      <c r="D9" s="1456" t="s">
        <v>541</v>
      </c>
      <c r="E9" s="1454" t="s">
        <v>542</v>
      </c>
      <c r="F9" s="1454" t="s">
        <v>543</v>
      </c>
      <c r="G9" s="1454" t="s">
        <v>544</v>
      </c>
    </row>
    <row r="10" spans="1:11" ht="24" customHeight="1" thickBot="1" x14ac:dyDescent="0.3">
      <c r="A10" s="1455"/>
      <c r="B10" s="1455"/>
      <c r="C10" s="1455"/>
      <c r="D10" s="1457"/>
      <c r="E10" s="1455"/>
      <c r="F10" s="1455"/>
      <c r="G10" s="1455"/>
    </row>
    <row r="11" spans="1:11" x14ac:dyDescent="0.25">
      <c r="A11" s="423" t="s">
        <v>545</v>
      </c>
      <c r="B11" s="424"/>
      <c r="C11" s="425"/>
      <c r="D11" s="426"/>
      <c r="E11" s="427"/>
      <c r="F11" s="427"/>
      <c r="G11" s="428"/>
    </row>
    <row r="12" spans="1:11" x14ac:dyDescent="0.25">
      <c r="A12" s="429" t="s">
        <v>546</v>
      </c>
      <c r="B12" s="430" t="s">
        <v>547</v>
      </c>
      <c r="C12" s="431"/>
      <c r="D12" s="432"/>
      <c r="E12" s="433"/>
      <c r="F12" s="432"/>
      <c r="G12" s="434">
        <f>SUM(G13:G22)+G23</f>
        <v>57300300</v>
      </c>
      <c r="I12" s="248"/>
    </row>
    <row r="13" spans="1:11" x14ac:dyDescent="0.25">
      <c r="A13" s="435">
        <v>1</v>
      </c>
      <c r="B13" s="249" t="str">
        <f>'[9]HARGA SATUAN'!B11</f>
        <v>Pasir Cor</v>
      </c>
      <c r="C13" s="250"/>
      <c r="D13" s="251">
        <f>'[9]ANALISA GG PLAT'!D65</f>
        <v>16</v>
      </c>
      <c r="E13" s="252" t="s">
        <v>548</v>
      </c>
      <c r="F13" s="253">
        <f>'[9]HARGA SATUAN'!N11</f>
        <v>287500</v>
      </c>
      <c r="G13" s="254">
        <f t="shared" ref="G13:G21" si="0">D13*F13</f>
        <v>4600000</v>
      </c>
      <c r="I13" s="248"/>
      <c r="K13" s="248"/>
    </row>
    <row r="14" spans="1:11" x14ac:dyDescent="0.25">
      <c r="A14" s="435">
        <f>A13+1</f>
        <v>2</v>
      </c>
      <c r="B14" s="249" t="str">
        <f>'[9]ANALISA GG PLAT'!B64</f>
        <v>Pasir Pasang</v>
      </c>
      <c r="C14" s="250"/>
      <c r="D14" s="251">
        <f>'[9]ANALISA GG PLAT'!D64</f>
        <v>5</v>
      </c>
      <c r="E14" s="255" t="s">
        <v>548</v>
      </c>
      <c r="F14" s="253">
        <f>'[9]HARGA SATUAN'!N8</f>
        <v>156900</v>
      </c>
      <c r="G14" s="254">
        <f t="shared" si="0"/>
        <v>784500</v>
      </c>
      <c r="I14" s="248"/>
      <c r="K14" s="248"/>
    </row>
    <row r="15" spans="1:11" x14ac:dyDescent="0.25">
      <c r="A15" s="435">
        <f t="shared" ref="A15:A23" si="1">A14+1</f>
        <v>3</v>
      </c>
      <c r="B15" s="249" t="s">
        <v>549</v>
      </c>
      <c r="C15" s="250"/>
      <c r="D15" s="251">
        <f>'[9]ANALISA GG PLAT'!D66</f>
        <v>23</v>
      </c>
      <c r="E15" s="256" t="s">
        <v>548</v>
      </c>
      <c r="F15" s="253">
        <f>'[9]HARGA SATUAN'!N13</f>
        <v>261400</v>
      </c>
      <c r="G15" s="254">
        <f t="shared" si="0"/>
        <v>6012200</v>
      </c>
      <c r="I15" s="248"/>
      <c r="K15" s="248"/>
    </row>
    <row r="16" spans="1:11" x14ac:dyDescent="0.25">
      <c r="A16" s="435">
        <f t="shared" si="1"/>
        <v>4</v>
      </c>
      <c r="B16" s="249" t="s">
        <v>550</v>
      </c>
      <c r="C16" s="250"/>
      <c r="D16" s="251">
        <f>'[9]ANALISA GG PLAT'!D67</f>
        <v>275</v>
      </c>
      <c r="E16" s="252" t="s">
        <v>551</v>
      </c>
      <c r="F16" s="253">
        <f>'[9]HARGA SATUAN'!N14</f>
        <v>75400</v>
      </c>
      <c r="G16" s="254">
        <f t="shared" si="0"/>
        <v>20735000</v>
      </c>
      <c r="I16" s="248"/>
      <c r="K16" s="248"/>
    </row>
    <row r="17" spans="1:11" x14ac:dyDescent="0.25">
      <c r="A17" s="435">
        <f t="shared" si="1"/>
        <v>5</v>
      </c>
      <c r="B17" s="249" t="s">
        <v>552</v>
      </c>
      <c r="C17" s="250"/>
      <c r="D17" s="251">
        <f>'[9]ANALISA GG PLAT'!D69</f>
        <v>65</v>
      </c>
      <c r="E17" s="256" t="s">
        <v>553</v>
      </c>
      <c r="F17" s="253">
        <f>'[9]HARGA SATUAN'!N15</f>
        <v>75400</v>
      </c>
      <c r="G17" s="254">
        <f t="shared" si="0"/>
        <v>4901000</v>
      </c>
      <c r="I17" s="248"/>
      <c r="K17" s="248"/>
    </row>
    <row r="18" spans="1:11" x14ac:dyDescent="0.25">
      <c r="A18" s="435">
        <f t="shared" si="1"/>
        <v>6</v>
      </c>
      <c r="B18" s="249" t="s">
        <v>554</v>
      </c>
      <c r="C18" s="250"/>
      <c r="D18" s="251">
        <f>'[9]ANALISA GG PLAT'!D68</f>
        <v>123</v>
      </c>
      <c r="E18" s="256" t="s">
        <v>553</v>
      </c>
      <c r="F18" s="253">
        <f>'[9]HARGA SATUAN'!N16</f>
        <v>110100</v>
      </c>
      <c r="G18" s="254">
        <f t="shared" si="0"/>
        <v>13542300</v>
      </c>
      <c r="I18" s="248"/>
      <c r="K18" s="248"/>
    </row>
    <row r="19" spans="1:11" x14ac:dyDescent="0.25">
      <c r="A19" s="435">
        <f t="shared" si="1"/>
        <v>7</v>
      </c>
      <c r="B19" s="249" t="s">
        <v>555</v>
      </c>
      <c r="C19" s="250"/>
      <c r="D19" s="251">
        <f>'[9]ANALISA GG PLAT'!D70</f>
        <v>24</v>
      </c>
      <c r="E19" s="256" t="s">
        <v>236</v>
      </c>
      <c r="F19" s="253">
        <f>'[9]HARGA SATUAN'!N21</f>
        <v>115900</v>
      </c>
      <c r="G19" s="254">
        <f t="shared" si="0"/>
        <v>2781600</v>
      </c>
      <c r="I19" s="248"/>
      <c r="K19" s="248"/>
    </row>
    <row r="20" spans="1:11" x14ac:dyDescent="0.25">
      <c r="A20" s="435">
        <f t="shared" si="1"/>
        <v>8</v>
      </c>
      <c r="B20" s="249" t="s">
        <v>556</v>
      </c>
      <c r="C20" s="250"/>
      <c r="D20" s="251">
        <f>'[9]ANALISA GG PLAT'!D71</f>
        <v>12</v>
      </c>
      <c r="E20" s="256" t="s">
        <v>314</v>
      </c>
      <c r="F20" s="253">
        <f>'[9]HARGA SATUAN'!N19</f>
        <v>29000</v>
      </c>
      <c r="G20" s="254">
        <f t="shared" si="0"/>
        <v>348000</v>
      </c>
      <c r="I20" s="248"/>
      <c r="K20" s="248"/>
    </row>
    <row r="21" spans="1:11" x14ac:dyDescent="0.25">
      <c r="A21" s="435">
        <f t="shared" si="1"/>
        <v>9</v>
      </c>
      <c r="B21" s="249" t="s">
        <v>557</v>
      </c>
      <c r="C21" s="250"/>
      <c r="D21" s="251">
        <f>'[9]ANALISA GG PLAT'!D72</f>
        <v>6</v>
      </c>
      <c r="E21" s="256" t="s">
        <v>314</v>
      </c>
      <c r="F21" s="253">
        <f>'[9]HARGA SATUAN'!N20</f>
        <v>29000</v>
      </c>
      <c r="G21" s="254">
        <f t="shared" si="0"/>
        <v>174000</v>
      </c>
      <c r="I21" s="248"/>
      <c r="K21" s="248"/>
    </row>
    <row r="22" spans="1:11" x14ac:dyDescent="0.25">
      <c r="A22" s="435">
        <f t="shared" si="1"/>
        <v>10</v>
      </c>
      <c r="B22" s="257" t="s">
        <v>558</v>
      </c>
      <c r="C22" s="250"/>
      <c r="D22" s="251">
        <f>'[9]ANALISA GG PLAT'!D73</f>
        <v>106</v>
      </c>
      <c r="E22" s="256" t="s">
        <v>553</v>
      </c>
      <c r="F22" s="253">
        <f>'[9]HARGA SATUAN'!N22</f>
        <v>29000</v>
      </c>
      <c r="G22" s="254">
        <f>D22*F22</f>
        <v>3074000</v>
      </c>
      <c r="I22" s="248"/>
      <c r="K22" s="248"/>
    </row>
    <row r="23" spans="1:11" x14ac:dyDescent="0.25">
      <c r="A23" s="435">
        <f t="shared" si="1"/>
        <v>11</v>
      </c>
      <c r="B23" s="258" t="str">
        <f>'[9]HARGA SATUAN'!B24</f>
        <v>Prasasti</v>
      </c>
      <c r="C23" s="259"/>
      <c r="D23" s="260">
        <v>1</v>
      </c>
      <c r="E23" s="261" t="s">
        <v>317</v>
      </c>
      <c r="F23" s="262">
        <f>'[9]HARGA SATUAN'!N24</f>
        <v>347700</v>
      </c>
      <c r="G23" s="254">
        <f>D23*F23</f>
        <v>347700</v>
      </c>
      <c r="H23" s="295"/>
      <c r="I23" s="1447">
        <f>D23*F23</f>
        <v>347700</v>
      </c>
      <c r="J23" s="1448"/>
      <c r="K23" s="1449"/>
    </row>
    <row r="24" spans="1:11" x14ac:dyDescent="0.25">
      <c r="A24" s="436"/>
      <c r="B24" s="437"/>
      <c r="C24" s="438"/>
      <c r="D24" s="439"/>
      <c r="E24" s="438"/>
      <c r="F24" s="440" t="s">
        <v>559</v>
      </c>
      <c r="G24" s="441">
        <f>G12</f>
        <v>57300300</v>
      </c>
      <c r="I24" s="248"/>
      <c r="K24" s="248"/>
    </row>
    <row r="25" spans="1:11" x14ac:dyDescent="0.25">
      <c r="A25" s="442" t="s">
        <v>560</v>
      </c>
      <c r="B25" s="443"/>
      <c r="C25" s="444"/>
      <c r="D25" s="445"/>
      <c r="E25" s="444"/>
      <c r="F25" s="444"/>
      <c r="G25" s="446"/>
      <c r="H25" s="244">
        <f>G25-G24</f>
        <v>-57300300</v>
      </c>
      <c r="I25" s="248"/>
      <c r="K25" s="248"/>
    </row>
    <row r="26" spans="1:11" x14ac:dyDescent="0.25">
      <c r="A26" s="429" t="s">
        <v>546</v>
      </c>
      <c r="B26" s="431" t="s">
        <v>561</v>
      </c>
      <c r="C26" s="433"/>
      <c r="D26" s="432"/>
      <c r="E26" s="447"/>
      <c r="F26" s="448"/>
      <c r="G26" s="434">
        <f>G33</f>
        <v>1122100</v>
      </c>
      <c r="I26" s="248"/>
      <c r="K26" s="248"/>
    </row>
    <row r="27" spans="1:11" x14ac:dyDescent="0.25">
      <c r="A27" s="449">
        <v>1</v>
      </c>
      <c r="B27" s="450" t="s">
        <v>562</v>
      </c>
      <c r="C27" s="451"/>
      <c r="D27" s="452">
        <v>10</v>
      </c>
      <c r="E27" s="453" t="s">
        <v>317</v>
      </c>
      <c r="F27" s="454">
        <f>'[9]HARGA SATUAN'!N36</f>
        <v>11600</v>
      </c>
      <c r="G27" s="254">
        <f t="shared" ref="G27:G32" si="2">D27*F27</f>
        <v>116000</v>
      </c>
      <c r="I27" s="248"/>
      <c r="K27" s="248"/>
    </row>
    <row r="28" spans="1:11" s="263" customFormat="1" x14ac:dyDescent="0.25">
      <c r="A28" s="449">
        <v>2</v>
      </c>
      <c r="B28" s="450" t="s">
        <v>563</v>
      </c>
      <c r="C28" s="451"/>
      <c r="D28" s="452">
        <v>1</v>
      </c>
      <c r="E28" s="453" t="s">
        <v>38</v>
      </c>
      <c r="F28" s="454">
        <f>'[9]HARGA SATUAN'!N25</f>
        <v>3500</v>
      </c>
      <c r="G28" s="254">
        <f t="shared" si="2"/>
        <v>3500</v>
      </c>
      <c r="H28" s="244"/>
      <c r="I28" s="248"/>
      <c r="J28" s="244"/>
      <c r="K28" s="264"/>
    </row>
    <row r="29" spans="1:11" s="263" customFormat="1" x14ac:dyDescent="0.25">
      <c r="A29" s="449">
        <v>3</v>
      </c>
      <c r="B29" s="450" t="s">
        <v>564</v>
      </c>
      <c r="C29" s="451"/>
      <c r="D29" s="452">
        <v>1</v>
      </c>
      <c r="E29" s="453" t="s">
        <v>317</v>
      </c>
      <c r="F29" s="454">
        <f>'[9]HARGA SATUAN'!N38</f>
        <v>753200</v>
      </c>
      <c r="G29" s="254">
        <f t="shared" si="2"/>
        <v>753200</v>
      </c>
      <c r="H29" s="244"/>
      <c r="I29" s="248"/>
      <c r="J29" s="244"/>
      <c r="K29" s="264"/>
    </row>
    <row r="30" spans="1:11" s="263" customFormat="1" x14ac:dyDescent="0.25">
      <c r="A30" s="449">
        <v>4</v>
      </c>
      <c r="B30" s="450" t="s">
        <v>796</v>
      </c>
      <c r="C30" s="451"/>
      <c r="D30" s="452">
        <v>0</v>
      </c>
      <c r="E30" s="453" t="s">
        <v>317</v>
      </c>
      <c r="F30" s="454">
        <f>'[9]HARGA SATUAN'!N32</f>
        <v>0</v>
      </c>
      <c r="G30" s="254">
        <f t="shared" si="2"/>
        <v>0</v>
      </c>
      <c r="H30" s="244"/>
      <c r="I30" s="248"/>
      <c r="J30" s="244"/>
      <c r="K30" s="264"/>
    </row>
    <row r="31" spans="1:11" s="263" customFormat="1" x14ac:dyDescent="0.25">
      <c r="A31" s="449">
        <v>5</v>
      </c>
      <c r="B31" s="450" t="s">
        <v>664</v>
      </c>
      <c r="C31" s="451"/>
      <c r="D31" s="452">
        <v>3</v>
      </c>
      <c r="E31" s="453" t="s">
        <v>317</v>
      </c>
      <c r="F31" s="454">
        <f>'[9]HARGA SATUAN'!N31</f>
        <v>75400</v>
      </c>
      <c r="G31" s="254">
        <f t="shared" si="2"/>
        <v>226200</v>
      </c>
      <c r="H31" s="244"/>
      <c r="I31" s="248"/>
      <c r="J31" s="244"/>
      <c r="K31" s="264"/>
    </row>
    <row r="32" spans="1:11" s="263" customFormat="1" x14ac:dyDescent="0.25">
      <c r="A32" s="455">
        <v>6</v>
      </c>
      <c r="B32" s="456" t="s">
        <v>565</v>
      </c>
      <c r="C32" s="457"/>
      <c r="D32" s="458">
        <v>2</v>
      </c>
      <c r="E32" s="459" t="s">
        <v>317</v>
      </c>
      <c r="F32" s="460">
        <f>'[9]HARGA SATUAN'!N27</f>
        <v>11600</v>
      </c>
      <c r="G32" s="254">
        <f t="shared" si="2"/>
        <v>23200</v>
      </c>
      <c r="H32" s="244"/>
      <c r="I32" s="248"/>
      <c r="J32" s="244"/>
      <c r="K32" s="264"/>
    </row>
    <row r="33" spans="1:13" x14ac:dyDescent="0.25">
      <c r="A33" s="436"/>
      <c r="B33" s="438"/>
      <c r="C33" s="438"/>
      <c r="D33" s="439"/>
      <c r="E33" s="438"/>
      <c r="F33" s="440" t="s">
        <v>566</v>
      </c>
      <c r="G33" s="441">
        <f>SUM(G27:G32)</f>
        <v>1122100</v>
      </c>
      <c r="I33" s="248"/>
      <c r="K33" s="248"/>
    </row>
    <row r="34" spans="1:13" x14ac:dyDescent="0.25">
      <c r="A34" s="423" t="s">
        <v>567</v>
      </c>
      <c r="B34" s="424"/>
      <c r="C34" s="461"/>
      <c r="D34" s="462"/>
      <c r="E34" s="463"/>
      <c r="F34" s="464"/>
      <c r="G34" s="465"/>
      <c r="H34" s="265"/>
    </row>
    <row r="35" spans="1:13" x14ac:dyDescent="0.25">
      <c r="A35" s="449">
        <v>1</v>
      </c>
      <c r="B35" s="466" t="s">
        <v>568</v>
      </c>
      <c r="C35" s="467"/>
      <c r="D35" s="468">
        <f>'[9]ANALISA GG PLAT'!D74</f>
        <v>152</v>
      </c>
      <c r="E35" s="469" t="s">
        <v>569</v>
      </c>
      <c r="F35" s="470">
        <f>'[9]HARGA SATUAN'!E41</f>
        <v>100000</v>
      </c>
      <c r="G35" s="471">
        <f>D35*F35</f>
        <v>15200000</v>
      </c>
      <c r="H35" s="265"/>
      <c r="I35" s="266"/>
    </row>
    <row r="36" spans="1:13" x14ac:dyDescent="0.25">
      <c r="A36" s="455">
        <v>2</v>
      </c>
      <c r="B36" s="466" t="s">
        <v>570</v>
      </c>
      <c r="C36" s="467"/>
      <c r="D36" s="468">
        <f>'[9]ANALISA GG PLAT'!D75</f>
        <v>56</v>
      </c>
      <c r="E36" s="469" t="s">
        <v>569</v>
      </c>
      <c r="F36" s="470">
        <f>'[9]HARGA SATUAN'!E42</f>
        <v>125000</v>
      </c>
      <c r="G36" s="471">
        <f>D36*F36</f>
        <v>7000000</v>
      </c>
      <c r="H36" s="265"/>
    </row>
    <row r="37" spans="1:13" x14ac:dyDescent="0.25">
      <c r="A37" s="436"/>
      <c r="B37" s="438"/>
      <c r="C37" s="438"/>
      <c r="D37" s="472"/>
      <c r="E37" s="473"/>
      <c r="F37" s="440" t="s">
        <v>571</v>
      </c>
      <c r="G37" s="441">
        <f>SUM(G35:G36)</f>
        <v>22200000</v>
      </c>
      <c r="H37" s="265"/>
    </row>
    <row r="38" spans="1:13" x14ac:dyDescent="0.25">
      <c r="A38" s="474"/>
      <c r="B38" s="475"/>
      <c r="C38" s="433"/>
      <c r="D38" s="476"/>
      <c r="E38" s="477"/>
      <c r="F38" s="478"/>
      <c r="G38" s="479"/>
    </row>
    <row r="39" spans="1:13" x14ac:dyDescent="0.25">
      <c r="A39" s="480" t="s">
        <v>572</v>
      </c>
      <c r="B39" s="481" t="s">
        <v>573</v>
      </c>
      <c r="C39" s="482"/>
      <c r="D39" s="483"/>
      <c r="E39" s="484"/>
      <c r="F39" s="485"/>
      <c r="G39" s="486">
        <f>SUM(G40:G41)</f>
        <v>3782400</v>
      </c>
    </row>
    <row r="40" spans="1:13" x14ac:dyDescent="0.25">
      <c r="A40" s="487">
        <v>2</v>
      </c>
      <c r="B40" s="488" t="s">
        <v>575</v>
      </c>
      <c r="C40" s="482"/>
      <c r="D40" s="489">
        <v>12</v>
      </c>
      <c r="E40" s="484" t="s">
        <v>574</v>
      </c>
      <c r="F40" s="490">
        <f>'[9]HARGA SATUAN'!N39</f>
        <v>315200</v>
      </c>
      <c r="G40" s="491">
        <f>D40*F40</f>
        <v>3782400</v>
      </c>
    </row>
    <row r="41" spans="1:13" x14ac:dyDescent="0.25">
      <c r="A41" s="487"/>
      <c r="B41" s="488"/>
      <c r="C41" s="482"/>
      <c r="D41" s="489"/>
      <c r="E41" s="484"/>
      <c r="F41" s="490"/>
      <c r="G41" s="492"/>
    </row>
    <row r="42" spans="1:13" x14ac:dyDescent="0.25">
      <c r="A42" s="480" t="s">
        <v>577</v>
      </c>
      <c r="B42" s="481" t="s">
        <v>578</v>
      </c>
      <c r="C42" s="482"/>
      <c r="D42" s="493"/>
      <c r="E42" s="484"/>
      <c r="F42" s="494"/>
      <c r="G42" s="495">
        <f>SUM(G43:G43)</f>
        <v>400000</v>
      </c>
      <c r="I42" s="267"/>
      <c r="J42" s="244" t="s">
        <v>576</v>
      </c>
    </row>
    <row r="43" spans="1:13" x14ac:dyDescent="0.25">
      <c r="A43" s="487">
        <v>1</v>
      </c>
      <c r="B43" s="488" t="s">
        <v>579</v>
      </c>
      <c r="C43" s="496"/>
      <c r="D43" s="489">
        <v>2</v>
      </c>
      <c r="E43" s="484" t="s">
        <v>580</v>
      </c>
      <c r="F43" s="494">
        <v>200000</v>
      </c>
      <c r="G43" s="491">
        <f>D43*F43</f>
        <v>400000</v>
      </c>
      <c r="J43" s="268">
        <f>G37/G45*100</f>
        <v>26.177763522819465</v>
      </c>
    </row>
    <row r="44" spans="1:13" ht="14.4" thickBot="1" x14ac:dyDescent="0.3">
      <c r="A44" s="1451" t="s">
        <v>581</v>
      </c>
      <c r="B44" s="1452"/>
      <c r="C44" s="1452"/>
      <c r="D44" s="1452"/>
      <c r="E44" s="1452"/>
      <c r="F44" s="1453"/>
      <c r="G44" s="486">
        <f>G42+G39</f>
        <v>4182400</v>
      </c>
      <c r="H44" s="269"/>
      <c r="I44" s="269"/>
      <c r="J44" s="269"/>
    </row>
    <row r="45" spans="1:13" ht="16.2" thickBot="1" x14ac:dyDescent="0.3">
      <c r="A45" s="497"/>
      <c r="B45" s="498"/>
      <c r="C45" s="498"/>
      <c r="D45" s="499"/>
      <c r="E45" s="500"/>
      <c r="F45" s="501" t="s">
        <v>582</v>
      </c>
      <c r="G45" s="502">
        <f>G44+G37+G33+G24</f>
        <v>84804800</v>
      </c>
      <c r="H45" s="269"/>
      <c r="I45" s="269"/>
      <c r="J45" s="269"/>
    </row>
    <row r="46" spans="1:13" x14ac:dyDescent="0.25">
      <c r="A46" s="503"/>
      <c r="B46" s="503"/>
      <c r="C46" s="503"/>
      <c r="D46" s="503"/>
      <c r="E46" s="503"/>
      <c r="F46" s="503"/>
      <c r="G46" s="503"/>
      <c r="H46" s="269"/>
      <c r="I46" s="269">
        <f>G46*0.13</f>
        <v>0</v>
      </c>
      <c r="J46" s="269"/>
      <c r="M46" s="247">
        <f>G46</f>
        <v>0</v>
      </c>
    </row>
    <row r="47" spans="1:13" ht="12.75" customHeight="1" x14ac:dyDescent="0.25">
      <c r="A47" s="131"/>
      <c r="B47" s="131"/>
      <c r="C47" s="109"/>
      <c r="D47" s="132"/>
      <c r="E47" s="1359" t="s">
        <v>1002</v>
      </c>
      <c r="F47" s="1359"/>
      <c r="G47" s="1359"/>
      <c r="H47" s="868"/>
      <c r="M47" s="271">
        <f>'[10]RAB-gedung+PAJAK'!$I$73</f>
        <v>186876700</v>
      </c>
    </row>
    <row r="48" spans="1:13" s="269" customFormat="1" ht="22.5" customHeight="1" x14ac:dyDescent="0.25">
      <c r="A48" s="1356" t="s">
        <v>11</v>
      </c>
      <c r="B48" s="1356"/>
      <c r="C48" s="1356"/>
      <c r="D48" s="1356"/>
      <c r="E48" s="1356" t="s">
        <v>21</v>
      </c>
      <c r="F48" s="1356"/>
      <c r="G48" s="1356"/>
      <c r="H48" s="867"/>
      <c r="M48" s="275">
        <v>176990800</v>
      </c>
    </row>
    <row r="49" spans="1:13" s="269" customFormat="1" ht="13.2" x14ac:dyDescent="0.25">
      <c r="A49" s="72"/>
      <c r="B49" s="72"/>
      <c r="C49" s="70"/>
      <c r="D49" s="72"/>
      <c r="E49" s="72"/>
      <c r="F49" s="72"/>
      <c r="G49" s="72"/>
      <c r="H49" s="72"/>
      <c r="M49" s="276">
        <f>'[11]RAB-gedung+PAJAK'!$I$66</f>
        <v>22445300</v>
      </c>
    </row>
    <row r="50" spans="1:13" s="269" customFormat="1" ht="13.2" x14ac:dyDescent="0.25">
      <c r="A50" s="72"/>
      <c r="B50" s="72"/>
      <c r="C50" s="70"/>
      <c r="D50" s="72"/>
      <c r="E50" s="72"/>
      <c r="F50" s="72"/>
      <c r="G50" s="72"/>
      <c r="H50" s="72"/>
      <c r="M50" s="277">
        <v>88208700</v>
      </c>
    </row>
    <row r="51" spans="1:13" s="269" customFormat="1" ht="13.2" x14ac:dyDescent="0.25">
      <c r="A51" s="72"/>
      <c r="B51" s="72"/>
      <c r="C51" s="70"/>
      <c r="D51" s="72"/>
      <c r="E51" s="72"/>
      <c r="F51" s="72"/>
      <c r="G51" s="72"/>
      <c r="H51" s="72"/>
      <c r="M51" s="277">
        <v>50885000</v>
      </c>
    </row>
    <row r="52" spans="1:13" s="269" customFormat="1" ht="13.2" x14ac:dyDescent="0.25">
      <c r="A52" s="1355" t="s">
        <v>1000</v>
      </c>
      <c r="B52" s="1355"/>
      <c r="C52" s="1355"/>
      <c r="D52" s="1355"/>
      <c r="E52" s="1355" t="s">
        <v>1003</v>
      </c>
      <c r="F52" s="1355"/>
      <c r="G52" s="1355"/>
      <c r="H52" s="866"/>
    </row>
    <row r="53" spans="1:13" s="269" customFormat="1" x14ac:dyDescent="0.25">
      <c r="A53" s="272"/>
      <c r="B53" s="272"/>
      <c r="C53" s="278"/>
      <c r="D53" s="272"/>
      <c r="E53" s="272"/>
      <c r="F53" s="273"/>
      <c r="H53" s="244"/>
      <c r="I53" s="244"/>
      <c r="J53" s="244"/>
      <c r="M53" s="279">
        <f>SUM(M46:M52)</f>
        <v>525406500</v>
      </c>
    </row>
    <row r="54" spans="1:13" s="274" customFormat="1" x14ac:dyDescent="0.25">
      <c r="A54" s="280"/>
      <c r="B54" s="280"/>
      <c r="C54" s="278"/>
      <c r="D54" s="280"/>
      <c r="E54" s="280"/>
      <c r="F54" s="278"/>
      <c r="H54" s="244"/>
      <c r="I54" s="244"/>
      <c r="J54" s="244"/>
    </row>
  </sheetData>
  <mergeCells count="13">
    <mergeCell ref="I23:K23"/>
    <mergeCell ref="A2:G2"/>
    <mergeCell ref="A44:F44"/>
    <mergeCell ref="G9:G10"/>
    <mergeCell ref="F9:F10"/>
    <mergeCell ref="E9:E10"/>
    <mergeCell ref="D9:D10"/>
    <mergeCell ref="A9:C10"/>
    <mergeCell ref="A48:D48"/>
    <mergeCell ref="A52:D52"/>
    <mergeCell ref="E47:G47"/>
    <mergeCell ref="E48:G48"/>
    <mergeCell ref="E52:G52"/>
  </mergeCells>
  <conditionalFormatting sqref="H34:H37">
    <cfRule type="cellIs" priority="1" operator="greaterThan">
      <formula>1</formula>
    </cfRule>
    <cfRule type="cellIs" dxfId="6" priority="2" operator="greaterThan">
      <formula>1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10000"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CB46-3651-4876-89CE-415F2DFA6CDD}">
  <sheetPr>
    <tabColor rgb="FF00B0F0"/>
  </sheetPr>
  <dimension ref="A1:Q42"/>
  <sheetViews>
    <sheetView zoomScaleNormal="100" zoomScaleSheetLayoutView="100" workbookViewId="0">
      <selection activeCell="O40" sqref="O40"/>
    </sheetView>
  </sheetViews>
  <sheetFormatPr defaultRowHeight="13.8" x14ac:dyDescent="0.25"/>
  <cols>
    <col min="1" max="1" width="4.33203125" style="510" customWidth="1"/>
    <col min="2" max="2" width="12" style="510" customWidth="1"/>
    <col min="3" max="3" width="15.6640625" style="510" customWidth="1"/>
    <col min="4" max="4" width="10.44140625" style="510" customWidth="1"/>
    <col min="5" max="5" width="9.77734375" style="510" customWidth="1"/>
    <col min="6" max="6" width="18.109375" style="510" customWidth="1"/>
    <col min="7" max="7" width="11.33203125" style="617" hidden="1" customWidth="1"/>
    <col min="8" max="8" width="15.6640625" style="617" hidden="1" customWidth="1"/>
    <col min="9" max="10" width="6.77734375" style="617" hidden="1" customWidth="1"/>
    <col min="11" max="11" width="17.33203125" style="617" hidden="1" customWidth="1"/>
    <col min="12" max="12" width="16.33203125" style="617" customWidth="1"/>
    <col min="13" max="13" width="23.6640625" style="510" customWidth="1"/>
    <col min="14" max="14" width="11.77734375" style="506" bestFit="1" customWidth="1"/>
    <col min="15" max="15" width="15.6640625" style="506" bestFit="1" customWidth="1"/>
    <col min="16" max="16" width="11" style="506" bestFit="1" customWidth="1"/>
    <col min="17" max="17" width="15.109375" style="506" bestFit="1" customWidth="1"/>
    <col min="18" max="256" width="9.33203125" style="506"/>
    <col min="257" max="257" width="4.33203125" style="506" customWidth="1"/>
    <col min="258" max="258" width="12" style="506" customWidth="1"/>
    <col min="259" max="259" width="15.6640625" style="506" customWidth="1"/>
    <col min="260" max="260" width="10.44140625" style="506" customWidth="1"/>
    <col min="261" max="261" width="9.77734375" style="506" customWidth="1"/>
    <col min="262" max="262" width="18.109375" style="506" customWidth="1"/>
    <col min="263" max="267" width="0" style="506" hidden="1" customWidth="1"/>
    <col min="268" max="268" width="16.33203125" style="506" customWidth="1"/>
    <col min="269" max="269" width="23.6640625" style="506" customWidth="1"/>
    <col min="270" max="270" width="11.77734375" style="506" bestFit="1" customWidth="1"/>
    <col min="271" max="271" width="15.6640625" style="506" bestFit="1" customWidth="1"/>
    <col min="272" max="272" width="11" style="506" bestFit="1" customWidth="1"/>
    <col min="273" max="273" width="15.109375" style="506" bestFit="1" customWidth="1"/>
    <col min="274" max="512" width="9.33203125" style="506"/>
    <col min="513" max="513" width="4.33203125" style="506" customWidth="1"/>
    <col min="514" max="514" width="12" style="506" customWidth="1"/>
    <col min="515" max="515" width="15.6640625" style="506" customWidth="1"/>
    <col min="516" max="516" width="10.44140625" style="506" customWidth="1"/>
    <col min="517" max="517" width="9.77734375" style="506" customWidth="1"/>
    <col min="518" max="518" width="18.109375" style="506" customWidth="1"/>
    <col min="519" max="523" width="0" style="506" hidden="1" customWidth="1"/>
    <col min="524" max="524" width="16.33203125" style="506" customWidth="1"/>
    <col min="525" max="525" width="23.6640625" style="506" customWidth="1"/>
    <col min="526" max="526" width="11.77734375" style="506" bestFit="1" customWidth="1"/>
    <col min="527" max="527" width="15.6640625" style="506" bestFit="1" customWidth="1"/>
    <col min="528" max="528" width="11" style="506" bestFit="1" customWidth="1"/>
    <col min="529" max="529" width="15.109375" style="506" bestFit="1" customWidth="1"/>
    <col min="530" max="768" width="9.33203125" style="506"/>
    <col min="769" max="769" width="4.33203125" style="506" customWidth="1"/>
    <col min="770" max="770" width="12" style="506" customWidth="1"/>
    <col min="771" max="771" width="15.6640625" style="506" customWidth="1"/>
    <col min="772" max="772" width="10.44140625" style="506" customWidth="1"/>
    <col min="773" max="773" width="9.77734375" style="506" customWidth="1"/>
    <col min="774" max="774" width="18.109375" style="506" customWidth="1"/>
    <col min="775" max="779" width="0" style="506" hidden="1" customWidth="1"/>
    <col min="780" max="780" width="16.33203125" style="506" customWidth="1"/>
    <col min="781" max="781" width="23.6640625" style="506" customWidth="1"/>
    <col min="782" max="782" width="11.77734375" style="506" bestFit="1" customWidth="1"/>
    <col min="783" max="783" width="15.6640625" style="506" bestFit="1" customWidth="1"/>
    <col min="784" max="784" width="11" style="506" bestFit="1" customWidth="1"/>
    <col min="785" max="785" width="15.109375" style="506" bestFit="1" customWidth="1"/>
    <col min="786" max="1024" width="9.33203125" style="506"/>
    <col min="1025" max="1025" width="4.33203125" style="506" customWidth="1"/>
    <col min="1026" max="1026" width="12" style="506" customWidth="1"/>
    <col min="1027" max="1027" width="15.6640625" style="506" customWidth="1"/>
    <col min="1028" max="1028" width="10.44140625" style="506" customWidth="1"/>
    <col min="1029" max="1029" width="9.77734375" style="506" customWidth="1"/>
    <col min="1030" max="1030" width="18.109375" style="506" customWidth="1"/>
    <col min="1031" max="1035" width="0" style="506" hidden="1" customWidth="1"/>
    <col min="1036" max="1036" width="16.33203125" style="506" customWidth="1"/>
    <col min="1037" max="1037" width="23.6640625" style="506" customWidth="1"/>
    <col min="1038" max="1038" width="11.77734375" style="506" bestFit="1" customWidth="1"/>
    <col min="1039" max="1039" width="15.6640625" style="506" bestFit="1" customWidth="1"/>
    <col min="1040" max="1040" width="11" style="506" bestFit="1" customWidth="1"/>
    <col min="1041" max="1041" width="15.109375" style="506" bestFit="1" customWidth="1"/>
    <col min="1042" max="1280" width="9.33203125" style="506"/>
    <col min="1281" max="1281" width="4.33203125" style="506" customWidth="1"/>
    <col min="1282" max="1282" width="12" style="506" customWidth="1"/>
    <col min="1283" max="1283" width="15.6640625" style="506" customWidth="1"/>
    <col min="1284" max="1284" width="10.44140625" style="506" customWidth="1"/>
    <col min="1285" max="1285" width="9.77734375" style="506" customWidth="1"/>
    <col min="1286" max="1286" width="18.109375" style="506" customWidth="1"/>
    <col min="1287" max="1291" width="0" style="506" hidden="1" customWidth="1"/>
    <col min="1292" max="1292" width="16.33203125" style="506" customWidth="1"/>
    <col min="1293" max="1293" width="23.6640625" style="506" customWidth="1"/>
    <col min="1294" max="1294" width="11.77734375" style="506" bestFit="1" customWidth="1"/>
    <col min="1295" max="1295" width="15.6640625" style="506" bestFit="1" customWidth="1"/>
    <col min="1296" max="1296" width="11" style="506" bestFit="1" customWidth="1"/>
    <col min="1297" max="1297" width="15.109375" style="506" bestFit="1" customWidth="1"/>
    <col min="1298" max="1536" width="9.33203125" style="506"/>
    <col min="1537" max="1537" width="4.33203125" style="506" customWidth="1"/>
    <col min="1538" max="1538" width="12" style="506" customWidth="1"/>
    <col min="1539" max="1539" width="15.6640625" style="506" customWidth="1"/>
    <col min="1540" max="1540" width="10.44140625" style="506" customWidth="1"/>
    <col min="1541" max="1541" width="9.77734375" style="506" customWidth="1"/>
    <col min="1542" max="1542" width="18.109375" style="506" customWidth="1"/>
    <col min="1543" max="1547" width="0" style="506" hidden="1" customWidth="1"/>
    <col min="1548" max="1548" width="16.33203125" style="506" customWidth="1"/>
    <col min="1549" max="1549" width="23.6640625" style="506" customWidth="1"/>
    <col min="1550" max="1550" width="11.77734375" style="506" bestFit="1" customWidth="1"/>
    <col min="1551" max="1551" width="15.6640625" style="506" bestFit="1" customWidth="1"/>
    <col min="1552" max="1552" width="11" style="506" bestFit="1" customWidth="1"/>
    <col min="1553" max="1553" width="15.109375" style="506" bestFit="1" customWidth="1"/>
    <col min="1554" max="1792" width="9.33203125" style="506"/>
    <col min="1793" max="1793" width="4.33203125" style="506" customWidth="1"/>
    <col min="1794" max="1794" width="12" style="506" customWidth="1"/>
    <col min="1795" max="1795" width="15.6640625" style="506" customWidth="1"/>
    <col min="1796" max="1796" width="10.44140625" style="506" customWidth="1"/>
    <col min="1797" max="1797" width="9.77734375" style="506" customWidth="1"/>
    <col min="1798" max="1798" width="18.109375" style="506" customWidth="1"/>
    <col min="1799" max="1803" width="0" style="506" hidden="1" customWidth="1"/>
    <col min="1804" max="1804" width="16.33203125" style="506" customWidth="1"/>
    <col min="1805" max="1805" width="23.6640625" style="506" customWidth="1"/>
    <col min="1806" max="1806" width="11.77734375" style="506" bestFit="1" customWidth="1"/>
    <col min="1807" max="1807" width="15.6640625" style="506" bestFit="1" customWidth="1"/>
    <col min="1808" max="1808" width="11" style="506" bestFit="1" customWidth="1"/>
    <col min="1809" max="1809" width="15.109375" style="506" bestFit="1" customWidth="1"/>
    <col min="1810" max="2048" width="9.33203125" style="506"/>
    <col min="2049" max="2049" width="4.33203125" style="506" customWidth="1"/>
    <col min="2050" max="2050" width="12" style="506" customWidth="1"/>
    <col min="2051" max="2051" width="15.6640625" style="506" customWidth="1"/>
    <col min="2052" max="2052" width="10.44140625" style="506" customWidth="1"/>
    <col min="2053" max="2053" width="9.77734375" style="506" customWidth="1"/>
    <col min="2054" max="2054" width="18.109375" style="506" customWidth="1"/>
    <col min="2055" max="2059" width="0" style="506" hidden="1" customWidth="1"/>
    <col min="2060" max="2060" width="16.33203125" style="506" customWidth="1"/>
    <col min="2061" max="2061" width="23.6640625" style="506" customWidth="1"/>
    <col min="2062" max="2062" width="11.77734375" style="506" bestFit="1" customWidth="1"/>
    <col min="2063" max="2063" width="15.6640625" style="506" bestFit="1" customWidth="1"/>
    <col min="2064" max="2064" width="11" style="506" bestFit="1" customWidth="1"/>
    <col min="2065" max="2065" width="15.109375" style="506" bestFit="1" customWidth="1"/>
    <col min="2066" max="2304" width="9.33203125" style="506"/>
    <col min="2305" max="2305" width="4.33203125" style="506" customWidth="1"/>
    <col min="2306" max="2306" width="12" style="506" customWidth="1"/>
    <col min="2307" max="2307" width="15.6640625" style="506" customWidth="1"/>
    <col min="2308" max="2308" width="10.44140625" style="506" customWidth="1"/>
    <col min="2309" max="2309" width="9.77734375" style="506" customWidth="1"/>
    <col min="2310" max="2310" width="18.109375" style="506" customWidth="1"/>
    <col min="2311" max="2315" width="0" style="506" hidden="1" customWidth="1"/>
    <col min="2316" max="2316" width="16.33203125" style="506" customWidth="1"/>
    <col min="2317" max="2317" width="23.6640625" style="506" customWidth="1"/>
    <col min="2318" max="2318" width="11.77734375" style="506" bestFit="1" customWidth="1"/>
    <col min="2319" max="2319" width="15.6640625" style="506" bestFit="1" customWidth="1"/>
    <col min="2320" max="2320" width="11" style="506" bestFit="1" customWidth="1"/>
    <col min="2321" max="2321" width="15.109375" style="506" bestFit="1" customWidth="1"/>
    <col min="2322" max="2560" width="9.33203125" style="506"/>
    <col min="2561" max="2561" width="4.33203125" style="506" customWidth="1"/>
    <col min="2562" max="2562" width="12" style="506" customWidth="1"/>
    <col min="2563" max="2563" width="15.6640625" style="506" customWidth="1"/>
    <col min="2564" max="2564" width="10.44140625" style="506" customWidth="1"/>
    <col min="2565" max="2565" width="9.77734375" style="506" customWidth="1"/>
    <col min="2566" max="2566" width="18.109375" style="506" customWidth="1"/>
    <col min="2567" max="2571" width="0" style="506" hidden="1" customWidth="1"/>
    <col min="2572" max="2572" width="16.33203125" style="506" customWidth="1"/>
    <col min="2573" max="2573" width="23.6640625" style="506" customWidth="1"/>
    <col min="2574" max="2574" width="11.77734375" style="506" bestFit="1" customWidth="1"/>
    <col min="2575" max="2575" width="15.6640625" style="506" bestFit="1" customWidth="1"/>
    <col min="2576" max="2576" width="11" style="506" bestFit="1" customWidth="1"/>
    <col min="2577" max="2577" width="15.109375" style="506" bestFit="1" customWidth="1"/>
    <col min="2578" max="2816" width="9.33203125" style="506"/>
    <col min="2817" max="2817" width="4.33203125" style="506" customWidth="1"/>
    <col min="2818" max="2818" width="12" style="506" customWidth="1"/>
    <col min="2819" max="2819" width="15.6640625" style="506" customWidth="1"/>
    <col min="2820" max="2820" width="10.44140625" style="506" customWidth="1"/>
    <col min="2821" max="2821" width="9.77734375" style="506" customWidth="1"/>
    <col min="2822" max="2822" width="18.109375" style="506" customWidth="1"/>
    <col min="2823" max="2827" width="0" style="506" hidden="1" customWidth="1"/>
    <col min="2828" max="2828" width="16.33203125" style="506" customWidth="1"/>
    <col min="2829" max="2829" width="23.6640625" style="506" customWidth="1"/>
    <col min="2830" max="2830" width="11.77734375" style="506" bestFit="1" customWidth="1"/>
    <col min="2831" max="2831" width="15.6640625" style="506" bestFit="1" customWidth="1"/>
    <col min="2832" max="2832" width="11" style="506" bestFit="1" customWidth="1"/>
    <col min="2833" max="2833" width="15.109375" style="506" bestFit="1" customWidth="1"/>
    <col min="2834" max="3072" width="9.33203125" style="506"/>
    <col min="3073" max="3073" width="4.33203125" style="506" customWidth="1"/>
    <col min="3074" max="3074" width="12" style="506" customWidth="1"/>
    <col min="3075" max="3075" width="15.6640625" style="506" customWidth="1"/>
    <col min="3076" max="3076" width="10.44140625" style="506" customWidth="1"/>
    <col min="3077" max="3077" width="9.77734375" style="506" customWidth="1"/>
    <col min="3078" max="3078" width="18.109375" style="506" customWidth="1"/>
    <col min="3079" max="3083" width="0" style="506" hidden="1" customWidth="1"/>
    <col min="3084" max="3084" width="16.33203125" style="506" customWidth="1"/>
    <col min="3085" max="3085" width="23.6640625" style="506" customWidth="1"/>
    <col min="3086" max="3086" width="11.77734375" style="506" bestFit="1" customWidth="1"/>
    <col min="3087" max="3087" width="15.6640625" style="506" bestFit="1" customWidth="1"/>
    <col min="3088" max="3088" width="11" style="506" bestFit="1" customWidth="1"/>
    <col min="3089" max="3089" width="15.109375" style="506" bestFit="1" customWidth="1"/>
    <col min="3090" max="3328" width="9.33203125" style="506"/>
    <col min="3329" max="3329" width="4.33203125" style="506" customWidth="1"/>
    <col min="3330" max="3330" width="12" style="506" customWidth="1"/>
    <col min="3331" max="3331" width="15.6640625" style="506" customWidth="1"/>
    <col min="3332" max="3332" width="10.44140625" style="506" customWidth="1"/>
    <col min="3333" max="3333" width="9.77734375" style="506" customWidth="1"/>
    <col min="3334" max="3334" width="18.109375" style="506" customWidth="1"/>
    <col min="3335" max="3339" width="0" style="506" hidden="1" customWidth="1"/>
    <col min="3340" max="3340" width="16.33203125" style="506" customWidth="1"/>
    <col min="3341" max="3341" width="23.6640625" style="506" customWidth="1"/>
    <col min="3342" max="3342" width="11.77734375" style="506" bestFit="1" customWidth="1"/>
    <col min="3343" max="3343" width="15.6640625" style="506" bestFit="1" customWidth="1"/>
    <col min="3344" max="3344" width="11" style="506" bestFit="1" customWidth="1"/>
    <col min="3345" max="3345" width="15.109375" style="506" bestFit="1" customWidth="1"/>
    <col min="3346" max="3584" width="9.33203125" style="506"/>
    <col min="3585" max="3585" width="4.33203125" style="506" customWidth="1"/>
    <col min="3586" max="3586" width="12" style="506" customWidth="1"/>
    <col min="3587" max="3587" width="15.6640625" style="506" customWidth="1"/>
    <col min="3588" max="3588" width="10.44140625" style="506" customWidth="1"/>
    <col min="3589" max="3589" width="9.77734375" style="506" customWidth="1"/>
    <col min="3590" max="3590" width="18.109375" style="506" customWidth="1"/>
    <col min="3591" max="3595" width="0" style="506" hidden="1" customWidth="1"/>
    <col min="3596" max="3596" width="16.33203125" style="506" customWidth="1"/>
    <col min="3597" max="3597" width="23.6640625" style="506" customWidth="1"/>
    <col min="3598" max="3598" width="11.77734375" style="506" bestFit="1" customWidth="1"/>
    <col min="3599" max="3599" width="15.6640625" style="506" bestFit="1" customWidth="1"/>
    <col min="3600" max="3600" width="11" style="506" bestFit="1" customWidth="1"/>
    <col min="3601" max="3601" width="15.109375" style="506" bestFit="1" customWidth="1"/>
    <col min="3602" max="3840" width="9.33203125" style="506"/>
    <col min="3841" max="3841" width="4.33203125" style="506" customWidth="1"/>
    <col min="3842" max="3842" width="12" style="506" customWidth="1"/>
    <col min="3843" max="3843" width="15.6640625" style="506" customWidth="1"/>
    <col min="3844" max="3844" width="10.44140625" style="506" customWidth="1"/>
    <col min="3845" max="3845" width="9.77734375" style="506" customWidth="1"/>
    <col min="3846" max="3846" width="18.109375" style="506" customWidth="1"/>
    <col min="3847" max="3851" width="0" style="506" hidden="1" customWidth="1"/>
    <col min="3852" max="3852" width="16.33203125" style="506" customWidth="1"/>
    <col min="3853" max="3853" width="23.6640625" style="506" customWidth="1"/>
    <col min="3854" max="3854" width="11.77734375" style="506" bestFit="1" customWidth="1"/>
    <col min="3855" max="3855" width="15.6640625" style="506" bestFit="1" customWidth="1"/>
    <col min="3856" max="3856" width="11" style="506" bestFit="1" customWidth="1"/>
    <col min="3857" max="3857" width="15.109375" style="506" bestFit="1" customWidth="1"/>
    <col min="3858" max="4096" width="9.33203125" style="506"/>
    <col min="4097" max="4097" width="4.33203125" style="506" customWidth="1"/>
    <col min="4098" max="4098" width="12" style="506" customWidth="1"/>
    <col min="4099" max="4099" width="15.6640625" style="506" customWidth="1"/>
    <col min="4100" max="4100" width="10.44140625" style="506" customWidth="1"/>
    <col min="4101" max="4101" width="9.77734375" style="506" customWidth="1"/>
    <col min="4102" max="4102" width="18.109375" style="506" customWidth="1"/>
    <col min="4103" max="4107" width="0" style="506" hidden="1" customWidth="1"/>
    <col min="4108" max="4108" width="16.33203125" style="506" customWidth="1"/>
    <col min="4109" max="4109" width="23.6640625" style="506" customWidth="1"/>
    <col min="4110" max="4110" width="11.77734375" style="506" bestFit="1" customWidth="1"/>
    <col min="4111" max="4111" width="15.6640625" style="506" bestFit="1" customWidth="1"/>
    <col min="4112" max="4112" width="11" style="506" bestFit="1" customWidth="1"/>
    <col min="4113" max="4113" width="15.109375" style="506" bestFit="1" customWidth="1"/>
    <col min="4114" max="4352" width="9.33203125" style="506"/>
    <col min="4353" max="4353" width="4.33203125" style="506" customWidth="1"/>
    <col min="4354" max="4354" width="12" style="506" customWidth="1"/>
    <col min="4355" max="4355" width="15.6640625" style="506" customWidth="1"/>
    <col min="4356" max="4356" width="10.44140625" style="506" customWidth="1"/>
    <col min="4357" max="4357" width="9.77734375" style="506" customWidth="1"/>
    <col min="4358" max="4358" width="18.109375" style="506" customWidth="1"/>
    <col min="4359" max="4363" width="0" style="506" hidden="1" customWidth="1"/>
    <col min="4364" max="4364" width="16.33203125" style="506" customWidth="1"/>
    <col min="4365" max="4365" width="23.6640625" style="506" customWidth="1"/>
    <col min="4366" max="4366" width="11.77734375" style="506" bestFit="1" customWidth="1"/>
    <col min="4367" max="4367" width="15.6640625" style="506" bestFit="1" customWidth="1"/>
    <col min="4368" max="4368" width="11" style="506" bestFit="1" customWidth="1"/>
    <col min="4369" max="4369" width="15.109375" style="506" bestFit="1" customWidth="1"/>
    <col min="4370" max="4608" width="9.33203125" style="506"/>
    <col min="4609" max="4609" width="4.33203125" style="506" customWidth="1"/>
    <col min="4610" max="4610" width="12" style="506" customWidth="1"/>
    <col min="4611" max="4611" width="15.6640625" style="506" customWidth="1"/>
    <col min="4612" max="4612" width="10.44140625" style="506" customWidth="1"/>
    <col min="4613" max="4613" width="9.77734375" style="506" customWidth="1"/>
    <col min="4614" max="4614" width="18.109375" style="506" customWidth="1"/>
    <col min="4615" max="4619" width="0" style="506" hidden="1" customWidth="1"/>
    <col min="4620" max="4620" width="16.33203125" style="506" customWidth="1"/>
    <col min="4621" max="4621" width="23.6640625" style="506" customWidth="1"/>
    <col min="4622" max="4622" width="11.77734375" style="506" bestFit="1" customWidth="1"/>
    <col min="4623" max="4623" width="15.6640625" style="506" bestFit="1" customWidth="1"/>
    <col min="4624" max="4624" width="11" style="506" bestFit="1" customWidth="1"/>
    <col min="4625" max="4625" width="15.109375" style="506" bestFit="1" customWidth="1"/>
    <col min="4626" max="4864" width="9.33203125" style="506"/>
    <col min="4865" max="4865" width="4.33203125" style="506" customWidth="1"/>
    <col min="4866" max="4866" width="12" style="506" customWidth="1"/>
    <col min="4867" max="4867" width="15.6640625" style="506" customWidth="1"/>
    <col min="4868" max="4868" width="10.44140625" style="506" customWidth="1"/>
    <col min="4869" max="4869" width="9.77734375" style="506" customWidth="1"/>
    <col min="4870" max="4870" width="18.109375" style="506" customWidth="1"/>
    <col min="4871" max="4875" width="0" style="506" hidden="1" customWidth="1"/>
    <col min="4876" max="4876" width="16.33203125" style="506" customWidth="1"/>
    <col min="4877" max="4877" width="23.6640625" style="506" customWidth="1"/>
    <col min="4878" max="4878" width="11.77734375" style="506" bestFit="1" customWidth="1"/>
    <col min="4879" max="4879" width="15.6640625" style="506" bestFit="1" customWidth="1"/>
    <col min="4880" max="4880" width="11" style="506" bestFit="1" customWidth="1"/>
    <col min="4881" max="4881" width="15.109375" style="506" bestFit="1" customWidth="1"/>
    <col min="4882" max="5120" width="9.33203125" style="506"/>
    <col min="5121" max="5121" width="4.33203125" style="506" customWidth="1"/>
    <col min="5122" max="5122" width="12" style="506" customWidth="1"/>
    <col min="5123" max="5123" width="15.6640625" style="506" customWidth="1"/>
    <col min="5124" max="5124" width="10.44140625" style="506" customWidth="1"/>
    <col min="5125" max="5125" width="9.77734375" style="506" customWidth="1"/>
    <col min="5126" max="5126" width="18.109375" style="506" customWidth="1"/>
    <col min="5127" max="5131" width="0" style="506" hidden="1" customWidth="1"/>
    <col min="5132" max="5132" width="16.33203125" style="506" customWidth="1"/>
    <col min="5133" max="5133" width="23.6640625" style="506" customWidth="1"/>
    <col min="5134" max="5134" width="11.77734375" style="506" bestFit="1" customWidth="1"/>
    <col min="5135" max="5135" width="15.6640625" style="506" bestFit="1" customWidth="1"/>
    <col min="5136" max="5136" width="11" style="506" bestFit="1" customWidth="1"/>
    <col min="5137" max="5137" width="15.109375" style="506" bestFit="1" customWidth="1"/>
    <col min="5138" max="5376" width="9.33203125" style="506"/>
    <col min="5377" max="5377" width="4.33203125" style="506" customWidth="1"/>
    <col min="5378" max="5378" width="12" style="506" customWidth="1"/>
    <col min="5379" max="5379" width="15.6640625" style="506" customWidth="1"/>
    <col min="5380" max="5380" width="10.44140625" style="506" customWidth="1"/>
    <col min="5381" max="5381" width="9.77734375" style="506" customWidth="1"/>
    <col min="5382" max="5382" width="18.109375" style="506" customWidth="1"/>
    <col min="5383" max="5387" width="0" style="506" hidden="1" customWidth="1"/>
    <col min="5388" max="5388" width="16.33203125" style="506" customWidth="1"/>
    <col min="5389" max="5389" width="23.6640625" style="506" customWidth="1"/>
    <col min="5390" max="5390" width="11.77734375" style="506" bestFit="1" customWidth="1"/>
    <col min="5391" max="5391" width="15.6640625" style="506" bestFit="1" customWidth="1"/>
    <col min="5392" max="5392" width="11" style="506" bestFit="1" customWidth="1"/>
    <col min="5393" max="5393" width="15.109375" style="506" bestFit="1" customWidth="1"/>
    <col min="5394" max="5632" width="9.33203125" style="506"/>
    <col min="5633" max="5633" width="4.33203125" style="506" customWidth="1"/>
    <col min="5634" max="5634" width="12" style="506" customWidth="1"/>
    <col min="5635" max="5635" width="15.6640625" style="506" customWidth="1"/>
    <col min="5636" max="5636" width="10.44140625" style="506" customWidth="1"/>
    <col min="5637" max="5637" width="9.77734375" style="506" customWidth="1"/>
    <col min="5638" max="5638" width="18.109375" style="506" customWidth="1"/>
    <col min="5639" max="5643" width="0" style="506" hidden="1" customWidth="1"/>
    <col min="5644" max="5644" width="16.33203125" style="506" customWidth="1"/>
    <col min="5645" max="5645" width="23.6640625" style="506" customWidth="1"/>
    <col min="5646" max="5646" width="11.77734375" style="506" bestFit="1" customWidth="1"/>
    <col min="5647" max="5647" width="15.6640625" style="506" bestFit="1" customWidth="1"/>
    <col min="5648" max="5648" width="11" style="506" bestFit="1" customWidth="1"/>
    <col min="5649" max="5649" width="15.109375" style="506" bestFit="1" customWidth="1"/>
    <col min="5650" max="5888" width="9.33203125" style="506"/>
    <col min="5889" max="5889" width="4.33203125" style="506" customWidth="1"/>
    <col min="5890" max="5890" width="12" style="506" customWidth="1"/>
    <col min="5891" max="5891" width="15.6640625" style="506" customWidth="1"/>
    <col min="5892" max="5892" width="10.44140625" style="506" customWidth="1"/>
    <col min="5893" max="5893" width="9.77734375" style="506" customWidth="1"/>
    <col min="5894" max="5894" width="18.109375" style="506" customWidth="1"/>
    <col min="5895" max="5899" width="0" style="506" hidden="1" customWidth="1"/>
    <col min="5900" max="5900" width="16.33203125" style="506" customWidth="1"/>
    <col min="5901" max="5901" width="23.6640625" style="506" customWidth="1"/>
    <col min="5902" max="5902" width="11.77734375" style="506" bestFit="1" customWidth="1"/>
    <col min="5903" max="5903" width="15.6640625" style="506" bestFit="1" customWidth="1"/>
    <col min="5904" max="5904" width="11" style="506" bestFit="1" customWidth="1"/>
    <col min="5905" max="5905" width="15.109375" style="506" bestFit="1" customWidth="1"/>
    <col min="5906" max="6144" width="9.33203125" style="506"/>
    <col min="6145" max="6145" width="4.33203125" style="506" customWidth="1"/>
    <col min="6146" max="6146" width="12" style="506" customWidth="1"/>
    <col min="6147" max="6147" width="15.6640625" style="506" customWidth="1"/>
    <col min="6148" max="6148" width="10.44140625" style="506" customWidth="1"/>
    <col min="6149" max="6149" width="9.77734375" style="506" customWidth="1"/>
    <col min="6150" max="6150" width="18.109375" style="506" customWidth="1"/>
    <col min="6151" max="6155" width="0" style="506" hidden="1" customWidth="1"/>
    <col min="6156" max="6156" width="16.33203125" style="506" customWidth="1"/>
    <col min="6157" max="6157" width="23.6640625" style="506" customWidth="1"/>
    <col min="6158" max="6158" width="11.77734375" style="506" bestFit="1" customWidth="1"/>
    <col min="6159" max="6159" width="15.6640625" style="506" bestFit="1" customWidth="1"/>
    <col min="6160" max="6160" width="11" style="506" bestFit="1" customWidth="1"/>
    <col min="6161" max="6161" width="15.109375" style="506" bestFit="1" customWidth="1"/>
    <col min="6162" max="6400" width="9.33203125" style="506"/>
    <col min="6401" max="6401" width="4.33203125" style="506" customWidth="1"/>
    <col min="6402" max="6402" width="12" style="506" customWidth="1"/>
    <col min="6403" max="6403" width="15.6640625" style="506" customWidth="1"/>
    <col min="6404" max="6404" width="10.44140625" style="506" customWidth="1"/>
    <col min="6405" max="6405" width="9.77734375" style="506" customWidth="1"/>
    <col min="6406" max="6406" width="18.109375" style="506" customWidth="1"/>
    <col min="6407" max="6411" width="0" style="506" hidden="1" customWidth="1"/>
    <col min="6412" max="6412" width="16.33203125" style="506" customWidth="1"/>
    <col min="6413" max="6413" width="23.6640625" style="506" customWidth="1"/>
    <col min="6414" max="6414" width="11.77734375" style="506" bestFit="1" customWidth="1"/>
    <col min="6415" max="6415" width="15.6640625" style="506" bestFit="1" customWidth="1"/>
    <col min="6416" max="6416" width="11" style="506" bestFit="1" customWidth="1"/>
    <col min="6417" max="6417" width="15.109375" style="506" bestFit="1" customWidth="1"/>
    <col min="6418" max="6656" width="9.33203125" style="506"/>
    <col min="6657" max="6657" width="4.33203125" style="506" customWidth="1"/>
    <col min="6658" max="6658" width="12" style="506" customWidth="1"/>
    <col min="6659" max="6659" width="15.6640625" style="506" customWidth="1"/>
    <col min="6660" max="6660" width="10.44140625" style="506" customWidth="1"/>
    <col min="6661" max="6661" width="9.77734375" style="506" customWidth="1"/>
    <col min="6662" max="6662" width="18.109375" style="506" customWidth="1"/>
    <col min="6663" max="6667" width="0" style="506" hidden="1" customWidth="1"/>
    <col min="6668" max="6668" width="16.33203125" style="506" customWidth="1"/>
    <col min="6669" max="6669" width="23.6640625" style="506" customWidth="1"/>
    <col min="6670" max="6670" width="11.77734375" style="506" bestFit="1" customWidth="1"/>
    <col min="6671" max="6671" width="15.6640625" style="506" bestFit="1" customWidth="1"/>
    <col min="6672" max="6672" width="11" style="506" bestFit="1" customWidth="1"/>
    <col min="6673" max="6673" width="15.109375" style="506" bestFit="1" customWidth="1"/>
    <col min="6674" max="6912" width="9.33203125" style="506"/>
    <col min="6913" max="6913" width="4.33203125" style="506" customWidth="1"/>
    <col min="6914" max="6914" width="12" style="506" customWidth="1"/>
    <col min="6915" max="6915" width="15.6640625" style="506" customWidth="1"/>
    <col min="6916" max="6916" width="10.44140625" style="506" customWidth="1"/>
    <col min="6917" max="6917" width="9.77734375" style="506" customWidth="1"/>
    <col min="6918" max="6918" width="18.109375" style="506" customWidth="1"/>
    <col min="6919" max="6923" width="0" style="506" hidden="1" customWidth="1"/>
    <col min="6924" max="6924" width="16.33203125" style="506" customWidth="1"/>
    <col min="6925" max="6925" width="23.6640625" style="506" customWidth="1"/>
    <col min="6926" max="6926" width="11.77734375" style="506" bestFit="1" customWidth="1"/>
    <col min="6927" max="6927" width="15.6640625" style="506" bestFit="1" customWidth="1"/>
    <col min="6928" max="6928" width="11" style="506" bestFit="1" customWidth="1"/>
    <col min="6929" max="6929" width="15.109375" style="506" bestFit="1" customWidth="1"/>
    <col min="6930" max="7168" width="9.33203125" style="506"/>
    <col min="7169" max="7169" width="4.33203125" style="506" customWidth="1"/>
    <col min="7170" max="7170" width="12" style="506" customWidth="1"/>
    <col min="7171" max="7171" width="15.6640625" style="506" customWidth="1"/>
    <col min="7172" max="7172" width="10.44140625" style="506" customWidth="1"/>
    <col min="7173" max="7173" width="9.77734375" style="506" customWidth="1"/>
    <col min="7174" max="7174" width="18.109375" style="506" customWidth="1"/>
    <col min="7175" max="7179" width="0" style="506" hidden="1" customWidth="1"/>
    <col min="7180" max="7180" width="16.33203125" style="506" customWidth="1"/>
    <col min="7181" max="7181" width="23.6640625" style="506" customWidth="1"/>
    <col min="7182" max="7182" width="11.77734375" style="506" bestFit="1" customWidth="1"/>
    <col min="7183" max="7183" width="15.6640625" style="506" bestFit="1" customWidth="1"/>
    <col min="7184" max="7184" width="11" style="506" bestFit="1" customWidth="1"/>
    <col min="7185" max="7185" width="15.109375" style="506" bestFit="1" customWidth="1"/>
    <col min="7186" max="7424" width="9.33203125" style="506"/>
    <col min="7425" max="7425" width="4.33203125" style="506" customWidth="1"/>
    <col min="7426" max="7426" width="12" style="506" customWidth="1"/>
    <col min="7427" max="7427" width="15.6640625" style="506" customWidth="1"/>
    <col min="7428" max="7428" width="10.44140625" style="506" customWidth="1"/>
    <col min="7429" max="7429" width="9.77734375" style="506" customWidth="1"/>
    <col min="7430" max="7430" width="18.109375" style="506" customWidth="1"/>
    <col min="7431" max="7435" width="0" style="506" hidden="1" customWidth="1"/>
    <col min="7436" max="7436" width="16.33203125" style="506" customWidth="1"/>
    <col min="7437" max="7437" width="23.6640625" style="506" customWidth="1"/>
    <col min="7438" max="7438" width="11.77734375" style="506" bestFit="1" customWidth="1"/>
    <col min="7439" max="7439" width="15.6640625" style="506" bestFit="1" customWidth="1"/>
    <col min="7440" max="7440" width="11" style="506" bestFit="1" customWidth="1"/>
    <col min="7441" max="7441" width="15.109375" style="506" bestFit="1" customWidth="1"/>
    <col min="7442" max="7680" width="9.33203125" style="506"/>
    <col min="7681" max="7681" width="4.33203125" style="506" customWidth="1"/>
    <col min="7682" max="7682" width="12" style="506" customWidth="1"/>
    <col min="7683" max="7683" width="15.6640625" style="506" customWidth="1"/>
    <col min="7684" max="7684" width="10.44140625" style="506" customWidth="1"/>
    <col min="7685" max="7685" width="9.77734375" style="506" customWidth="1"/>
    <col min="7686" max="7686" width="18.109375" style="506" customWidth="1"/>
    <col min="7687" max="7691" width="0" style="506" hidden="1" customWidth="1"/>
    <col min="7692" max="7692" width="16.33203125" style="506" customWidth="1"/>
    <col min="7693" max="7693" width="23.6640625" style="506" customWidth="1"/>
    <col min="7694" max="7694" width="11.77734375" style="506" bestFit="1" customWidth="1"/>
    <col min="7695" max="7695" width="15.6640625" style="506" bestFit="1" customWidth="1"/>
    <col min="7696" max="7696" width="11" style="506" bestFit="1" customWidth="1"/>
    <col min="7697" max="7697" width="15.109375" style="506" bestFit="1" customWidth="1"/>
    <col min="7698" max="7936" width="9.33203125" style="506"/>
    <col min="7937" max="7937" width="4.33203125" style="506" customWidth="1"/>
    <col min="7938" max="7938" width="12" style="506" customWidth="1"/>
    <col min="7939" max="7939" width="15.6640625" style="506" customWidth="1"/>
    <col min="7940" max="7940" width="10.44140625" style="506" customWidth="1"/>
    <col min="7941" max="7941" width="9.77734375" style="506" customWidth="1"/>
    <col min="7942" max="7942" width="18.109375" style="506" customWidth="1"/>
    <col min="7943" max="7947" width="0" style="506" hidden="1" customWidth="1"/>
    <col min="7948" max="7948" width="16.33203125" style="506" customWidth="1"/>
    <col min="7949" max="7949" width="23.6640625" style="506" customWidth="1"/>
    <col min="7950" max="7950" width="11.77734375" style="506" bestFit="1" customWidth="1"/>
    <col min="7951" max="7951" width="15.6640625" style="506" bestFit="1" customWidth="1"/>
    <col min="7952" max="7952" width="11" style="506" bestFit="1" customWidth="1"/>
    <col min="7953" max="7953" width="15.109375" style="506" bestFit="1" customWidth="1"/>
    <col min="7954" max="8192" width="9.33203125" style="506"/>
    <col min="8193" max="8193" width="4.33203125" style="506" customWidth="1"/>
    <col min="8194" max="8194" width="12" style="506" customWidth="1"/>
    <col min="8195" max="8195" width="15.6640625" style="506" customWidth="1"/>
    <col min="8196" max="8196" width="10.44140625" style="506" customWidth="1"/>
    <col min="8197" max="8197" width="9.77734375" style="506" customWidth="1"/>
    <col min="8198" max="8198" width="18.109375" style="506" customWidth="1"/>
    <col min="8199" max="8203" width="0" style="506" hidden="1" customWidth="1"/>
    <col min="8204" max="8204" width="16.33203125" style="506" customWidth="1"/>
    <col min="8205" max="8205" width="23.6640625" style="506" customWidth="1"/>
    <col min="8206" max="8206" width="11.77734375" style="506" bestFit="1" customWidth="1"/>
    <col min="8207" max="8207" width="15.6640625" style="506" bestFit="1" customWidth="1"/>
    <col min="8208" max="8208" width="11" style="506" bestFit="1" customWidth="1"/>
    <col min="8209" max="8209" width="15.109375" style="506" bestFit="1" customWidth="1"/>
    <col min="8210" max="8448" width="9.33203125" style="506"/>
    <col min="8449" max="8449" width="4.33203125" style="506" customWidth="1"/>
    <col min="8450" max="8450" width="12" style="506" customWidth="1"/>
    <col min="8451" max="8451" width="15.6640625" style="506" customWidth="1"/>
    <col min="8452" max="8452" width="10.44140625" style="506" customWidth="1"/>
    <col min="8453" max="8453" width="9.77734375" style="506" customWidth="1"/>
    <col min="8454" max="8454" width="18.109375" style="506" customWidth="1"/>
    <col min="8455" max="8459" width="0" style="506" hidden="1" customWidth="1"/>
    <col min="8460" max="8460" width="16.33203125" style="506" customWidth="1"/>
    <col min="8461" max="8461" width="23.6640625" style="506" customWidth="1"/>
    <col min="8462" max="8462" width="11.77734375" style="506" bestFit="1" customWidth="1"/>
    <col min="8463" max="8463" width="15.6640625" style="506" bestFit="1" customWidth="1"/>
    <col min="8464" max="8464" width="11" style="506" bestFit="1" customWidth="1"/>
    <col min="8465" max="8465" width="15.109375" style="506" bestFit="1" customWidth="1"/>
    <col min="8466" max="8704" width="9.33203125" style="506"/>
    <col min="8705" max="8705" width="4.33203125" style="506" customWidth="1"/>
    <col min="8706" max="8706" width="12" style="506" customWidth="1"/>
    <col min="8707" max="8707" width="15.6640625" style="506" customWidth="1"/>
    <col min="8708" max="8708" width="10.44140625" style="506" customWidth="1"/>
    <col min="8709" max="8709" width="9.77734375" style="506" customWidth="1"/>
    <col min="8710" max="8710" width="18.109375" style="506" customWidth="1"/>
    <col min="8711" max="8715" width="0" style="506" hidden="1" customWidth="1"/>
    <col min="8716" max="8716" width="16.33203125" style="506" customWidth="1"/>
    <col min="8717" max="8717" width="23.6640625" style="506" customWidth="1"/>
    <col min="8718" max="8718" width="11.77734375" style="506" bestFit="1" customWidth="1"/>
    <col min="8719" max="8719" width="15.6640625" style="506" bestFit="1" customWidth="1"/>
    <col min="8720" max="8720" width="11" style="506" bestFit="1" customWidth="1"/>
    <col min="8721" max="8721" width="15.109375" style="506" bestFit="1" customWidth="1"/>
    <col min="8722" max="8960" width="9.33203125" style="506"/>
    <col min="8961" max="8961" width="4.33203125" style="506" customWidth="1"/>
    <col min="8962" max="8962" width="12" style="506" customWidth="1"/>
    <col min="8963" max="8963" width="15.6640625" style="506" customWidth="1"/>
    <col min="8964" max="8964" width="10.44140625" style="506" customWidth="1"/>
    <col min="8965" max="8965" width="9.77734375" style="506" customWidth="1"/>
    <col min="8966" max="8966" width="18.109375" style="506" customWidth="1"/>
    <col min="8967" max="8971" width="0" style="506" hidden="1" customWidth="1"/>
    <col min="8972" max="8972" width="16.33203125" style="506" customWidth="1"/>
    <col min="8973" max="8973" width="23.6640625" style="506" customWidth="1"/>
    <col min="8974" max="8974" width="11.77734375" style="506" bestFit="1" customWidth="1"/>
    <col min="8975" max="8975" width="15.6640625" style="506" bestFit="1" customWidth="1"/>
    <col min="8976" max="8976" width="11" style="506" bestFit="1" customWidth="1"/>
    <col min="8977" max="8977" width="15.109375" style="506" bestFit="1" customWidth="1"/>
    <col min="8978" max="9216" width="9.33203125" style="506"/>
    <col min="9217" max="9217" width="4.33203125" style="506" customWidth="1"/>
    <col min="9218" max="9218" width="12" style="506" customWidth="1"/>
    <col min="9219" max="9219" width="15.6640625" style="506" customWidth="1"/>
    <col min="9220" max="9220" width="10.44140625" style="506" customWidth="1"/>
    <col min="9221" max="9221" width="9.77734375" style="506" customWidth="1"/>
    <col min="9222" max="9222" width="18.109375" style="506" customWidth="1"/>
    <col min="9223" max="9227" width="0" style="506" hidden="1" customWidth="1"/>
    <col min="9228" max="9228" width="16.33203125" style="506" customWidth="1"/>
    <col min="9229" max="9229" width="23.6640625" style="506" customWidth="1"/>
    <col min="9230" max="9230" width="11.77734375" style="506" bestFit="1" customWidth="1"/>
    <col min="9231" max="9231" width="15.6640625" style="506" bestFit="1" customWidth="1"/>
    <col min="9232" max="9232" width="11" style="506" bestFit="1" customWidth="1"/>
    <col min="9233" max="9233" width="15.109375" style="506" bestFit="1" customWidth="1"/>
    <col min="9234" max="9472" width="9.33203125" style="506"/>
    <col min="9473" max="9473" width="4.33203125" style="506" customWidth="1"/>
    <col min="9474" max="9474" width="12" style="506" customWidth="1"/>
    <col min="9475" max="9475" width="15.6640625" style="506" customWidth="1"/>
    <col min="9476" max="9476" width="10.44140625" style="506" customWidth="1"/>
    <col min="9477" max="9477" width="9.77734375" style="506" customWidth="1"/>
    <col min="9478" max="9478" width="18.109375" style="506" customWidth="1"/>
    <col min="9479" max="9483" width="0" style="506" hidden="1" customWidth="1"/>
    <col min="9484" max="9484" width="16.33203125" style="506" customWidth="1"/>
    <col min="9485" max="9485" width="23.6640625" style="506" customWidth="1"/>
    <col min="9486" max="9486" width="11.77734375" style="506" bestFit="1" customWidth="1"/>
    <col min="9487" max="9487" width="15.6640625" style="506" bestFit="1" customWidth="1"/>
    <col min="9488" max="9488" width="11" style="506" bestFit="1" customWidth="1"/>
    <col min="9489" max="9489" width="15.109375" style="506" bestFit="1" customWidth="1"/>
    <col min="9490" max="9728" width="9.33203125" style="506"/>
    <col min="9729" max="9729" width="4.33203125" style="506" customWidth="1"/>
    <col min="9730" max="9730" width="12" style="506" customWidth="1"/>
    <col min="9731" max="9731" width="15.6640625" style="506" customWidth="1"/>
    <col min="9732" max="9732" width="10.44140625" style="506" customWidth="1"/>
    <col min="9733" max="9733" width="9.77734375" style="506" customWidth="1"/>
    <col min="9734" max="9734" width="18.109375" style="506" customWidth="1"/>
    <col min="9735" max="9739" width="0" style="506" hidden="1" customWidth="1"/>
    <col min="9740" max="9740" width="16.33203125" style="506" customWidth="1"/>
    <col min="9741" max="9741" width="23.6640625" style="506" customWidth="1"/>
    <col min="9742" max="9742" width="11.77734375" style="506" bestFit="1" customWidth="1"/>
    <col min="9743" max="9743" width="15.6640625" style="506" bestFit="1" customWidth="1"/>
    <col min="9744" max="9744" width="11" style="506" bestFit="1" customWidth="1"/>
    <col min="9745" max="9745" width="15.109375" style="506" bestFit="1" customWidth="1"/>
    <col min="9746" max="9984" width="9.33203125" style="506"/>
    <col min="9985" max="9985" width="4.33203125" style="506" customWidth="1"/>
    <col min="9986" max="9986" width="12" style="506" customWidth="1"/>
    <col min="9987" max="9987" width="15.6640625" style="506" customWidth="1"/>
    <col min="9988" max="9988" width="10.44140625" style="506" customWidth="1"/>
    <col min="9989" max="9989" width="9.77734375" style="506" customWidth="1"/>
    <col min="9990" max="9990" width="18.109375" style="506" customWidth="1"/>
    <col min="9991" max="9995" width="0" style="506" hidden="1" customWidth="1"/>
    <col min="9996" max="9996" width="16.33203125" style="506" customWidth="1"/>
    <col min="9997" max="9997" width="23.6640625" style="506" customWidth="1"/>
    <col min="9998" max="9998" width="11.77734375" style="506" bestFit="1" customWidth="1"/>
    <col min="9999" max="9999" width="15.6640625" style="506" bestFit="1" customWidth="1"/>
    <col min="10000" max="10000" width="11" style="506" bestFit="1" customWidth="1"/>
    <col min="10001" max="10001" width="15.109375" style="506" bestFit="1" customWidth="1"/>
    <col min="10002" max="10240" width="9.33203125" style="506"/>
    <col min="10241" max="10241" width="4.33203125" style="506" customWidth="1"/>
    <col min="10242" max="10242" width="12" style="506" customWidth="1"/>
    <col min="10243" max="10243" width="15.6640625" style="506" customWidth="1"/>
    <col min="10244" max="10244" width="10.44140625" style="506" customWidth="1"/>
    <col min="10245" max="10245" width="9.77734375" style="506" customWidth="1"/>
    <col min="10246" max="10246" width="18.109375" style="506" customWidth="1"/>
    <col min="10247" max="10251" width="0" style="506" hidden="1" customWidth="1"/>
    <col min="10252" max="10252" width="16.33203125" style="506" customWidth="1"/>
    <col min="10253" max="10253" width="23.6640625" style="506" customWidth="1"/>
    <col min="10254" max="10254" width="11.77734375" style="506" bestFit="1" customWidth="1"/>
    <col min="10255" max="10255" width="15.6640625" style="506" bestFit="1" customWidth="1"/>
    <col min="10256" max="10256" width="11" style="506" bestFit="1" customWidth="1"/>
    <col min="10257" max="10257" width="15.109375" style="506" bestFit="1" customWidth="1"/>
    <col min="10258" max="10496" width="9.33203125" style="506"/>
    <col min="10497" max="10497" width="4.33203125" style="506" customWidth="1"/>
    <col min="10498" max="10498" width="12" style="506" customWidth="1"/>
    <col min="10499" max="10499" width="15.6640625" style="506" customWidth="1"/>
    <col min="10500" max="10500" width="10.44140625" style="506" customWidth="1"/>
    <col min="10501" max="10501" width="9.77734375" style="506" customWidth="1"/>
    <col min="10502" max="10502" width="18.109375" style="506" customWidth="1"/>
    <col min="10503" max="10507" width="0" style="506" hidden="1" customWidth="1"/>
    <col min="10508" max="10508" width="16.33203125" style="506" customWidth="1"/>
    <col min="10509" max="10509" width="23.6640625" style="506" customWidth="1"/>
    <col min="10510" max="10510" width="11.77734375" style="506" bestFit="1" customWidth="1"/>
    <col min="10511" max="10511" width="15.6640625" style="506" bestFit="1" customWidth="1"/>
    <col min="10512" max="10512" width="11" style="506" bestFit="1" customWidth="1"/>
    <col min="10513" max="10513" width="15.109375" style="506" bestFit="1" customWidth="1"/>
    <col min="10514" max="10752" width="9.33203125" style="506"/>
    <col min="10753" max="10753" width="4.33203125" style="506" customWidth="1"/>
    <col min="10754" max="10754" width="12" style="506" customWidth="1"/>
    <col min="10755" max="10755" width="15.6640625" style="506" customWidth="1"/>
    <col min="10756" max="10756" width="10.44140625" style="506" customWidth="1"/>
    <col min="10757" max="10757" width="9.77734375" style="506" customWidth="1"/>
    <col min="10758" max="10758" width="18.109375" style="506" customWidth="1"/>
    <col min="10759" max="10763" width="0" style="506" hidden="1" customWidth="1"/>
    <col min="10764" max="10764" width="16.33203125" style="506" customWidth="1"/>
    <col min="10765" max="10765" width="23.6640625" style="506" customWidth="1"/>
    <col min="10766" max="10766" width="11.77734375" style="506" bestFit="1" customWidth="1"/>
    <col min="10767" max="10767" width="15.6640625" style="506" bestFit="1" customWidth="1"/>
    <col min="10768" max="10768" width="11" style="506" bestFit="1" customWidth="1"/>
    <col min="10769" max="10769" width="15.109375" style="506" bestFit="1" customWidth="1"/>
    <col min="10770" max="11008" width="9.33203125" style="506"/>
    <col min="11009" max="11009" width="4.33203125" style="506" customWidth="1"/>
    <col min="11010" max="11010" width="12" style="506" customWidth="1"/>
    <col min="11011" max="11011" width="15.6640625" style="506" customWidth="1"/>
    <col min="11012" max="11012" width="10.44140625" style="506" customWidth="1"/>
    <col min="11013" max="11013" width="9.77734375" style="506" customWidth="1"/>
    <col min="11014" max="11014" width="18.109375" style="506" customWidth="1"/>
    <col min="11015" max="11019" width="0" style="506" hidden="1" customWidth="1"/>
    <col min="11020" max="11020" width="16.33203125" style="506" customWidth="1"/>
    <col min="11021" max="11021" width="23.6640625" style="506" customWidth="1"/>
    <col min="11022" max="11022" width="11.77734375" style="506" bestFit="1" customWidth="1"/>
    <col min="11023" max="11023" width="15.6640625" style="506" bestFit="1" customWidth="1"/>
    <col min="11024" max="11024" width="11" style="506" bestFit="1" customWidth="1"/>
    <col min="11025" max="11025" width="15.109375" style="506" bestFit="1" customWidth="1"/>
    <col min="11026" max="11264" width="9.33203125" style="506"/>
    <col min="11265" max="11265" width="4.33203125" style="506" customWidth="1"/>
    <col min="11266" max="11266" width="12" style="506" customWidth="1"/>
    <col min="11267" max="11267" width="15.6640625" style="506" customWidth="1"/>
    <col min="11268" max="11268" width="10.44140625" style="506" customWidth="1"/>
    <col min="11269" max="11269" width="9.77734375" style="506" customWidth="1"/>
    <col min="11270" max="11270" width="18.109375" style="506" customWidth="1"/>
    <col min="11271" max="11275" width="0" style="506" hidden="1" customWidth="1"/>
    <col min="11276" max="11276" width="16.33203125" style="506" customWidth="1"/>
    <col min="11277" max="11277" width="23.6640625" style="506" customWidth="1"/>
    <col min="11278" max="11278" width="11.77734375" style="506" bestFit="1" customWidth="1"/>
    <col min="11279" max="11279" width="15.6640625" style="506" bestFit="1" customWidth="1"/>
    <col min="11280" max="11280" width="11" style="506" bestFit="1" customWidth="1"/>
    <col min="11281" max="11281" width="15.109375" style="506" bestFit="1" customWidth="1"/>
    <col min="11282" max="11520" width="9.33203125" style="506"/>
    <col min="11521" max="11521" width="4.33203125" style="506" customWidth="1"/>
    <col min="11522" max="11522" width="12" style="506" customWidth="1"/>
    <col min="11523" max="11523" width="15.6640625" style="506" customWidth="1"/>
    <col min="11524" max="11524" width="10.44140625" style="506" customWidth="1"/>
    <col min="11525" max="11525" width="9.77734375" style="506" customWidth="1"/>
    <col min="11526" max="11526" width="18.109375" style="506" customWidth="1"/>
    <col min="11527" max="11531" width="0" style="506" hidden="1" customWidth="1"/>
    <col min="11532" max="11532" width="16.33203125" style="506" customWidth="1"/>
    <col min="11533" max="11533" width="23.6640625" style="506" customWidth="1"/>
    <col min="11534" max="11534" width="11.77734375" style="506" bestFit="1" customWidth="1"/>
    <col min="11535" max="11535" width="15.6640625" style="506" bestFit="1" customWidth="1"/>
    <col min="11536" max="11536" width="11" style="506" bestFit="1" customWidth="1"/>
    <col min="11537" max="11537" width="15.109375" style="506" bestFit="1" customWidth="1"/>
    <col min="11538" max="11776" width="9.33203125" style="506"/>
    <col min="11777" max="11777" width="4.33203125" style="506" customWidth="1"/>
    <col min="11778" max="11778" width="12" style="506" customWidth="1"/>
    <col min="11779" max="11779" width="15.6640625" style="506" customWidth="1"/>
    <col min="11780" max="11780" width="10.44140625" style="506" customWidth="1"/>
    <col min="11781" max="11781" width="9.77734375" style="506" customWidth="1"/>
    <col min="11782" max="11782" width="18.109375" style="506" customWidth="1"/>
    <col min="11783" max="11787" width="0" style="506" hidden="1" customWidth="1"/>
    <col min="11788" max="11788" width="16.33203125" style="506" customWidth="1"/>
    <col min="11789" max="11789" width="23.6640625" style="506" customWidth="1"/>
    <col min="11790" max="11790" width="11.77734375" style="506" bestFit="1" customWidth="1"/>
    <col min="11791" max="11791" width="15.6640625" style="506" bestFit="1" customWidth="1"/>
    <col min="11792" max="11792" width="11" style="506" bestFit="1" customWidth="1"/>
    <col min="11793" max="11793" width="15.109375" style="506" bestFit="1" customWidth="1"/>
    <col min="11794" max="12032" width="9.33203125" style="506"/>
    <col min="12033" max="12033" width="4.33203125" style="506" customWidth="1"/>
    <col min="12034" max="12034" width="12" style="506" customWidth="1"/>
    <col min="12035" max="12035" width="15.6640625" style="506" customWidth="1"/>
    <col min="12036" max="12036" width="10.44140625" style="506" customWidth="1"/>
    <col min="12037" max="12037" width="9.77734375" style="506" customWidth="1"/>
    <col min="12038" max="12038" width="18.109375" style="506" customWidth="1"/>
    <col min="12039" max="12043" width="0" style="506" hidden="1" customWidth="1"/>
    <col min="12044" max="12044" width="16.33203125" style="506" customWidth="1"/>
    <col min="12045" max="12045" width="23.6640625" style="506" customWidth="1"/>
    <col min="12046" max="12046" width="11.77734375" style="506" bestFit="1" customWidth="1"/>
    <col min="12047" max="12047" width="15.6640625" style="506" bestFit="1" customWidth="1"/>
    <col min="12048" max="12048" width="11" style="506" bestFit="1" customWidth="1"/>
    <col min="12049" max="12049" width="15.109375" style="506" bestFit="1" customWidth="1"/>
    <col min="12050" max="12288" width="9.33203125" style="506"/>
    <col min="12289" max="12289" width="4.33203125" style="506" customWidth="1"/>
    <col min="12290" max="12290" width="12" style="506" customWidth="1"/>
    <col min="12291" max="12291" width="15.6640625" style="506" customWidth="1"/>
    <col min="12292" max="12292" width="10.44140625" style="506" customWidth="1"/>
    <col min="12293" max="12293" width="9.77734375" style="506" customWidth="1"/>
    <col min="12294" max="12294" width="18.109375" style="506" customWidth="1"/>
    <col min="12295" max="12299" width="0" style="506" hidden="1" customWidth="1"/>
    <col min="12300" max="12300" width="16.33203125" style="506" customWidth="1"/>
    <col min="12301" max="12301" width="23.6640625" style="506" customWidth="1"/>
    <col min="12302" max="12302" width="11.77734375" style="506" bestFit="1" customWidth="1"/>
    <col min="12303" max="12303" width="15.6640625" style="506" bestFit="1" customWidth="1"/>
    <col min="12304" max="12304" width="11" style="506" bestFit="1" customWidth="1"/>
    <col min="12305" max="12305" width="15.109375" style="506" bestFit="1" customWidth="1"/>
    <col min="12306" max="12544" width="9.33203125" style="506"/>
    <col min="12545" max="12545" width="4.33203125" style="506" customWidth="1"/>
    <col min="12546" max="12546" width="12" style="506" customWidth="1"/>
    <col min="12547" max="12547" width="15.6640625" style="506" customWidth="1"/>
    <col min="12548" max="12548" width="10.44140625" style="506" customWidth="1"/>
    <col min="12549" max="12549" width="9.77734375" style="506" customWidth="1"/>
    <col min="12550" max="12550" width="18.109375" style="506" customWidth="1"/>
    <col min="12551" max="12555" width="0" style="506" hidden="1" customWidth="1"/>
    <col min="12556" max="12556" width="16.33203125" style="506" customWidth="1"/>
    <col min="12557" max="12557" width="23.6640625" style="506" customWidth="1"/>
    <col min="12558" max="12558" width="11.77734375" style="506" bestFit="1" customWidth="1"/>
    <col min="12559" max="12559" width="15.6640625" style="506" bestFit="1" customWidth="1"/>
    <col min="12560" max="12560" width="11" style="506" bestFit="1" customWidth="1"/>
    <col min="12561" max="12561" width="15.109375" style="506" bestFit="1" customWidth="1"/>
    <col min="12562" max="12800" width="9.33203125" style="506"/>
    <col min="12801" max="12801" width="4.33203125" style="506" customWidth="1"/>
    <col min="12802" max="12802" width="12" style="506" customWidth="1"/>
    <col min="12803" max="12803" width="15.6640625" style="506" customWidth="1"/>
    <col min="12804" max="12804" width="10.44140625" style="506" customWidth="1"/>
    <col min="12805" max="12805" width="9.77734375" style="506" customWidth="1"/>
    <col min="12806" max="12806" width="18.109375" style="506" customWidth="1"/>
    <col min="12807" max="12811" width="0" style="506" hidden="1" customWidth="1"/>
    <col min="12812" max="12812" width="16.33203125" style="506" customWidth="1"/>
    <col min="12813" max="12813" width="23.6640625" style="506" customWidth="1"/>
    <col min="12814" max="12814" width="11.77734375" style="506" bestFit="1" customWidth="1"/>
    <col min="12815" max="12815" width="15.6640625" style="506" bestFit="1" customWidth="1"/>
    <col min="12816" max="12816" width="11" style="506" bestFit="1" customWidth="1"/>
    <col min="12817" max="12817" width="15.109375" style="506" bestFit="1" customWidth="1"/>
    <col min="12818" max="13056" width="9.33203125" style="506"/>
    <col min="13057" max="13057" width="4.33203125" style="506" customWidth="1"/>
    <col min="13058" max="13058" width="12" style="506" customWidth="1"/>
    <col min="13059" max="13059" width="15.6640625" style="506" customWidth="1"/>
    <col min="13060" max="13060" width="10.44140625" style="506" customWidth="1"/>
    <col min="13061" max="13061" width="9.77734375" style="506" customWidth="1"/>
    <col min="13062" max="13062" width="18.109375" style="506" customWidth="1"/>
    <col min="13063" max="13067" width="0" style="506" hidden="1" customWidth="1"/>
    <col min="13068" max="13068" width="16.33203125" style="506" customWidth="1"/>
    <col min="13069" max="13069" width="23.6640625" style="506" customWidth="1"/>
    <col min="13070" max="13070" width="11.77734375" style="506" bestFit="1" customWidth="1"/>
    <col min="13071" max="13071" width="15.6640625" style="506" bestFit="1" customWidth="1"/>
    <col min="13072" max="13072" width="11" style="506" bestFit="1" customWidth="1"/>
    <col min="13073" max="13073" width="15.109375" style="506" bestFit="1" customWidth="1"/>
    <col min="13074" max="13312" width="9.33203125" style="506"/>
    <col min="13313" max="13313" width="4.33203125" style="506" customWidth="1"/>
    <col min="13314" max="13314" width="12" style="506" customWidth="1"/>
    <col min="13315" max="13315" width="15.6640625" style="506" customWidth="1"/>
    <col min="13316" max="13316" width="10.44140625" style="506" customWidth="1"/>
    <col min="13317" max="13317" width="9.77734375" style="506" customWidth="1"/>
    <col min="13318" max="13318" width="18.109375" style="506" customWidth="1"/>
    <col min="13319" max="13323" width="0" style="506" hidden="1" customWidth="1"/>
    <col min="13324" max="13324" width="16.33203125" style="506" customWidth="1"/>
    <col min="13325" max="13325" width="23.6640625" style="506" customWidth="1"/>
    <col min="13326" max="13326" width="11.77734375" style="506" bestFit="1" customWidth="1"/>
    <col min="13327" max="13327" width="15.6640625" style="506" bestFit="1" customWidth="1"/>
    <col min="13328" max="13328" width="11" style="506" bestFit="1" customWidth="1"/>
    <col min="13329" max="13329" width="15.109375" style="506" bestFit="1" customWidth="1"/>
    <col min="13330" max="13568" width="9.33203125" style="506"/>
    <col min="13569" max="13569" width="4.33203125" style="506" customWidth="1"/>
    <col min="13570" max="13570" width="12" style="506" customWidth="1"/>
    <col min="13571" max="13571" width="15.6640625" style="506" customWidth="1"/>
    <col min="13572" max="13572" width="10.44140625" style="506" customWidth="1"/>
    <col min="13573" max="13573" width="9.77734375" style="506" customWidth="1"/>
    <col min="13574" max="13574" width="18.109375" style="506" customWidth="1"/>
    <col min="13575" max="13579" width="0" style="506" hidden="1" customWidth="1"/>
    <col min="13580" max="13580" width="16.33203125" style="506" customWidth="1"/>
    <col min="13581" max="13581" width="23.6640625" style="506" customWidth="1"/>
    <col min="13582" max="13582" width="11.77734375" style="506" bestFit="1" customWidth="1"/>
    <col min="13583" max="13583" width="15.6640625" style="506" bestFit="1" customWidth="1"/>
    <col min="13584" max="13584" width="11" style="506" bestFit="1" customWidth="1"/>
    <col min="13585" max="13585" width="15.109375" style="506" bestFit="1" customWidth="1"/>
    <col min="13586" max="13824" width="9.33203125" style="506"/>
    <col min="13825" max="13825" width="4.33203125" style="506" customWidth="1"/>
    <col min="13826" max="13826" width="12" style="506" customWidth="1"/>
    <col min="13827" max="13827" width="15.6640625" style="506" customWidth="1"/>
    <col min="13828" max="13828" width="10.44140625" style="506" customWidth="1"/>
    <col min="13829" max="13829" width="9.77734375" style="506" customWidth="1"/>
    <col min="13830" max="13830" width="18.109375" style="506" customWidth="1"/>
    <col min="13831" max="13835" width="0" style="506" hidden="1" customWidth="1"/>
    <col min="13836" max="13836" width="16.33203125" style="506" customWidth="1"/>
    <col min="13837" max="13837" width="23.6640625" style="506" customWidth="1"/>
    <col min="13838" max="13838" width="11.77734375" style="506" bestFit="1" customWidth="1"/>
    <col min="13839" max="13839" width="15.6640625" style="506" bestFit="1" customWidth="1"/>
    <col min="13840" max="13840" width="11" style="506" bestFit="1" customWidth="1"/>
    <col min="13841" max="13841" width="15.109375" style="506" bestFit="1" customWidth="1"/>
    <col min="13842" max="14080" width="9.33203125" style="506"/>
    <col min="14081" max="14081" width="4.33203125" style="506" customWidth="1"/>
    <col min="14082" max="14082" width="12" style="506" customWidth="1"/>
    <col min="14083" max="14083" width="15.6640625" style="506" customWidth="1"/>
    <col min="14084" max="14084" width="10.44140625" style="506" customWidth="1"/>
    <col min="14085" max="14085" width="9.77734375" style="506" customWidth="1"/>
    <col min="14086" max="14086" width="18.109375" style="506" customWidth="1"/>
    <col min="14087" max="14091" width="0" style="506" hidden="1" customWidth="1"/>
    <col min="14092" max="14092" width="16.33203125" style="506" customWidth="1"/>
    <col min="14093" max="14093" width="23.6640625" style="506" customWidth="1"/>
    <col min="14094" max="14094" width="11.77734375" style="506" bestFit="1" customWidth="1"/>
    <col min="14095" max="14095" width="15.6640625" style="506" bestFit="1" customWidth="1"/>
    <col min="14096" max="14096" width="11" style="506" bestFit="1" customWidth="1"/>
    <col min="14097" max="14097" width="15.109375" style="506" bestFit="1" customWidth="1"/>
    <col min="14098" max="14336" width="9.33203125" style="506"/>
    <col min="14337" max="14337" width="4.33203125" style="506" customWidth="1"/>
    <col min="14338" max="14338" width="12" style="506" customWidth="1"/>
    <col min="14339" max="14339" width="15.6640625" style="506" customWidth="1"/>
    <col min="14340" max="14340" width="10.44140625" style="506" customWidth="1"/>
    <col min="14341" max="14341" width="9.77734375" style="506" customWidth="1"/>
    <col min="14342" max="14342" width="18.109375" style="506" customWidth="1"/>
    <col min="14343" max="14347" width="0" style="506" hidden="1" customWidth="1"/>
    <col min="14348" max="14348" width="16.33203125" style="506" customWidth="1"/>
    <col min="14349" max="14349" width="23.6640625" style="506" customWidth="1"/>
    <col min="14350" max="14350" width="11.77734375" style="506" bestFit="1" customWidth="1"/>
    <col min="14351" max="14351" width="15.6640625" style="506" bestFit="1" customWidth="1"/>
    <col min="14352" max="14352" width="11" style="506" bestFit="1" customWidth="1"/>
    <col min="14353" max="14353" width="15.109375" style="506" bestFit="1" customWidth="1"/>
    <col min="14354" max="14592" width="9.33203125" style="506"/>
    <col min="14593" max="14593" width="4.33203125" style="506" customWidth="1"/>
    <col min="14594" max="14594" width="12" style="506" customWidth="1"/>
    <col min="14595" max="14595" width="15.6640625" style="506" customWidth="1"/>
    <col min="14596" max="14596" width="10.44140625" style="506" customWidth="1"/>
    <col min="14597" max="14597" width="9.77734375" style="506" customWidth="1"/>
    <col min="14598" max="14598" width="18.109375" style="506" customWidth="1"/>
    <col min="14599" max="14603" width="0" style="506" hidden="1" customWidth="1"/>
    <col min="14604" max="14604" width="16.33203125" style="506" customWidth="1"/>
    <col min="14605" max="14605" width="23.6640625" style="506" customWidth="1"/>
    <col min="14606" max="14606" width="11.77734375" style="506" bestFit="1" customWidth="1"/>
    <col min="14607" max="14607" width="15.6640625" style="506" bestFit="1" customWidth="1"/>
    <col min="14608" max="14608" width="11" style="506" bestFit="1" customWidth="1"/>
    <col min="14609" max="14609" width="15.109375" style="506" bestFit="1" customWidth="1"/>
    <col min="14610" max="14848" width="9.33203125" style="506"/>
    <col min="14849" max="14849" width="4.33203125" style="506" customWidth="1"/>
    <col min="14850" max="14850" width="12" style="506" customWidth="1"/>
    <col min="14851" max="14851" width="15.6640625" style="506" customWidth="1"/>
    <col min="14852" max="14852" width="10.44140625" style="506" customWidth="1"/>
    <col min="14853" max="14853" width="9.77734375" style="506" customWidth="1"/>
    <col min="14854" max="14854" width="18.109375" style="506" customWidth="1"/>
    <col min="14855" max="14859" width="0" style="506" hidden="1" customWidth="1"/>
    <col min="14860" max="14860" width="16.33203125" style="506" customWidth="1"/>
    <col min="14861" max="14861" width="23.6640625" style="506" customWidth="1"/>
    <col min="14862" max="14862" width="11.77734375" style="506" bestFit="1" customWidth="1"/>
    <col min="14863" max="14863" width="15.6640625" style="506" bestFit="1" customWidth="1"/>
    <col min="14864" max="14864" width="11" style="506" bestFit="1" customWidth="1"/>
    <col min="14865" max="14865" width="15.109375" style="506" bestFit="1" customWidth="1"/>
    <col min="14866" max="15104" width="9.33203125" style="506"/>
    <col min="15105" max="15105" width="4.33203125" style="506" customWidth="1"/>
    <col min="15106" max="15106" width="12" style="506" customWidth="1"/>
    <col min="15107" max="15107" width="15.6640625" style="506" customWidth="1"/>
    <col min="15108" max="15108" width="10.44140625" style="506" customWidth="1"/>
    <col min="15109" max="15109" width="9.77734375" style="506" customWidth="1"/>
    <col min="15110" max="15110" width="18.109375" style="506" customWidth="1"/>
    <col min="15111" max="15115" width="0" style="506" hidden="1" customWidth="1"/>
    <col min="15116" max="15116" width="16.33203125" style="506" customWidth="1"/>
    <col min="15117" max="15117" width="23.6640625" style="506" customWidth="1"/>
    <col min="15118" max="15118" width="11.77734375" style="506" bestFit="1" customWidth="1"/>
    <col min="15119" max="15119" width="15.6640625" style="506" bestFit="1" customWidth="1"/>
    <col min="15120" max="15120" width="11" style="506" bestFit="1" customWidth="1"/>
    <col min="15121" max="15121" width="15.109375" style="506" bestFit="1" customWidth="1"/>
    <col min="15122" max="15360" width="9.33203125" style="506"/>
    <col min="15361" max="15361" width="4.33203125" style="506" customWidth="1"/>
    <col min="15362" max="15362" width="12" style="506" customWidth="1"/>
    <col min="15363" max="15363" width="15.6640625" style="506" customWidth="1"/>
    <col min="15364" max="15364" width="10.44140625" style="506" customWidth="1"/>
    <col min="15365" max="15365" width="9.77734375" style="506" customWidth="1"/>
    <col min="15366" max="15366" width="18.109375" style="506" customWidth="1"/>
    <col min="15367" max="15371" width="0" style="506" hidden="1" customWidth="1"/>
    <col min="15372" max="15372" width="16.33203125" style="506" customWidth="1"/>
    <col min="15373" max="15373" width="23.6640625" style="506" customWidth="1"/>
    <col min="15374" max="15374" width="11.77734375" style="506" bestFit="1" customWidth="1"/>
    <col min="15375" max="15375" width="15.6640625" style="506" bestFit="1" customWidth="1"/>
    <col min="15376" max="15376" width="11" style="506" bestFit="1" customWidth="1"/>
    <col min="15377" max="15377" width="15.109375" style="506" bestFit="1" customWidth="1"/>
    <col min="15378" max="15616" width="9.33203125" style="506"/>
    <col min="15617" max="15617" width="4.33203125" style="506" customWidth="1"/>
    <col min="15618" max="15618" width="12" style="506" customWidth="1"/>
    <col min="15619" max="15619" width="15.6640625" style="506" customWidth="1"/>
    <col min="15620" max="15620" width="10.44140625" style="506" customWidth="1"/>
    <col min="15621" max="15621" width="9.77734375" style="506" customWidth="1"/>
    <col min="15622" max="15622" width="18.109375" style="506" customWidth="1"/>
    <col min="15623" max="15627" width="0" style="506" hidden="1" customWidth="1"/>
    <col min="15628" max="15628" width="16.33203125" style="506" customWidth="1"/>
    <col min="15629" max="15629" width="23.6640625" style="506" customWidth="1"/>
    <col min="15630" max="15630" width="11.77734375" style="506" bestFit="1" customWidth="1"/>
    <col min="15631" max="15631" width="15.6640625" style="506" bestFit="1" customWidth="1"/>
    <col min="15632" max="15632" width="11" style="506" bestFit="1" customWidth="1"/>
    <col min="15633" max="15633" width="15.109375" style="506" bestFit="1" customWidth="1"/>
    <col min="15634" max="15872" width="9.33203125" style="506"/>
    <col min="15873" max="15873" width="4.33203125" style="506" customWidth="1"/>
    <col min="15874" max="15874" width="12" style="506" customWidth="1"/>
    <col min="15875" max="15875" width="15.6640625" style="506" customWidth="1"/>
    <col min="15876" max="15876" width="10.44140625" style="506" customWidth="1"/>
    <col min="15877" max="15877" width="9.77734375" style="506" customWidth="1"/>
    <col min="15878" max="15878" width="18.109375" style="506" customWidth="1"/>
    <col min="15879" max="15883" width="0" style="506" hidden="1" customWidth="1"/>
    <col min="15884" max="15884" width="16.33203125" style="506" customWidth="1"/>
    <col min="15885" max="15885" width="23.6640625" style="506" customWidth="1"/>
    <col min="15886" max="15886" width="11.77734375" style="506" bestFit="1" customWidth="1"/>
    <col min="15887" max="15887" width="15.6640625" style="506" bestFit="1" customWidth="1"/>
    <col min="15888" max="15888" width="11" style="506" bestFit="1" customWidth="1"/>
    <col min="15889" max="15889" width="15.109375" style="506" bestFit="1" customWidth="1"/>
    <col min="15890" max="16128" width="9.33203125" style="506"/>
    <col min="16129" max="16129" width="4.33203125" style="506" customWidth="1"/>
    <col min="16130" max="16130" width="12" style="506" customWidth="1"/>
    <col min="16131" max="16131" width="15.6640625" style="506" customWidth="1"/>
    <col min="16132" max="16132" width="10.44140625" style="506" customWidth="1"/>
    <col min="16133" max="16133" width="9.77734375" style="506" customWidth="1"/>
    <col min="16134" max="16134" width="18.109375" style="506" customWidth="1"/>
    <col min="16135" max="16139" width="0" style="506" hidden="1" customWidth="1"/>
    <col min="16140" max="16140" width="16.33203125" style="506" customWidth="1"/>
    <col min="16141" max="16141" width="23.6640625" style="506" customWidth="1"/>
    <col min="16142" max="16142" width="11.77734375" style="506" bestFit="1" customWidth="1"/>
    <col min="16143" max="16143" width="15.6640625" style="506" bestFit="1" customWidth="1"/>
    <col min="16144" max="16144" width="11" style="506" bestFit="1" customWidth="1"/>
    <col min="16145" max="16145" width="15.109375" style="506" bestFit="1" customWidth="1"/>
    <col min="16146" max="16384" width="9.33203125" style="506"/>
  </cols>
  <sheetData>
    <row r="1" spans="1:17" ht="14.4" x14ac:dyDescent="0.25">
      <c r="A1" s="504"/>
      <c r="B1" s="504"/>
      <c r="C1" s="504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244" t="s">
        <v>586</v>
      </c>
    </row>
    <row r="2" spans="1:17" ht="17.399999999999999" x14ac:dyDescent="0.25">
      <c r="A2" s="1462" t="s">
        <v>534</v>
      </c>
      <c r="B2" s="1462"/>
      <c r="C2" s="1462"/>
      <c r="D2" s="1462"/>
      <c r="E2" s="1462"/>
      <c r="F2" s="1462"/>
      <c r="G2" s="1462"/>
      <c r="H2" s="1462"/>
      <c r="I2" s="1462"/>
      <c r="J2" s="1462"/>
      <c r="K2" s="1462"/>
      <c r="L2" s="1462"/>
      <c r="M2" s="1462"/>
      <c r="N2" s="244" t="s">
        <v>587</v>
      </c>
      <c r="O2" s="618">
        <f>M33</f>
        <v>56239000</v>
      </c>
    </row>
    <row r="3" spans="1:17" x14ac:dyDescent="0.25">
      <c r="A3" s="505"/>
      <c r="B3" s="505"/>
      <c r="C3" s="505"/>
      <c r="D3" s="505"/>
      <c r="E3" s="505"/>
      <c r="F3" s="505"/>
      <c r="G3" s="507"/>
      <c r="H3" s="507"/>
      <c r="I3" s="507"/>
      <c r="J3" s="507"/>
      <c r="K3" s="507"/>
      <c r="L3" s="508"/>
      <c r="M3" s="505"/>
    </row>
    <row r="4" spans="1:17" x14ac:dyDescent="0.25">
      <c r="A4" s="505" t="s">
        <v>535</v>
      </c>
      <c r="B4" s="505"/>
      <c r="C4" s="505" t="str">
        <f>[12]DATA!D13</f>
        <v>: Jawa Timur</v>
      </c>
      <c r="D4" s="505"/>
      <c r="E4" s="505"/>
      <c r="F4" s="505"/>
      <c r="G4" s="507"/>
      <c r="H4" s="507"/>
      <c r="I4" s="507"/>
      <c r="J4" s="507"/>
      <c r="K4" s="509" t="s">
        <v>642</v>
      </c>
      <c r="L4" s="508"/>
      <c r="M4" s="509" t="s">
        <v>795</v>
      </c>
    </row>
    <row r="5" spans="1:17" x14ac:dyDescent="0.25">
      <c r="A5" s="505" t="s">
        <v>536</v>
      </c>
      <c r="B5" s="505"/>
      <c r="C5" s="505" t="str">
        <f>[12]DATA!D12</f>
        <v>: Malang</v>
      </c>
      <c r="D5" s="505"/>
      <c r="E5" s="505"/>
      <c r="F5" s="505"/>
      <c r="G5" s="507"/>
      <c r="H5" s="507"/>
      <c r="I5" s="507"/>
      <c r="J5" s="507"/>
      <c r="K5" s="509" t="s">
        <v>537</v>
      </c>
      <c r="L5" s="508"/>
      <c r="M5" s="509" t="str">
        <f>[13]DATA!D26</f>
        <v>: Pembangunan Desa</v>
      </c>
    </row>
    <row r="6" spans="1:17" x14ac:dyDescent="0.25">
      <c r="A6" s="505" t="s">
        <v>538</v>
      </c>
      <c r="B6" s="505"/>
      <c r="C6" s="505" t="str">
        <f>[13]DATA!D11</f>
        <v>: Wagir</v>
      </c>
      <c r="D6" s="505"/>
      <c r="E6" s="505"/>
      <c r="F6" s="505"/>
      <c r="G6" s="507"/>
      <c r="H6" s="507"/>
      <c r="I6" s="507"/>
      <c r="J6" s="507"/>
      <c r="K6" s="509" t="s">
        <v>28</v>
      </c>
      <c r="L6" s="508"/>
      <c r="M6" s="509" t="str">
        <f>[13]DATA!C35</f>
        <v>: Aspal Hotmix</v>
      </c>
    </row>
    <row r="7" spans="1:17" x14ac:dyDescent="0.25">
      <c r="A7" s="505" t="s">
        <v>43</v>
      </c>
      <c r="B7" s="505"/>
      <c r="C7" s="505" t="str">
        <f>[13]DATA!D10</f>
        <v>: Pandanlandung</v>
      </c>
      <c r="D7" s="505"/>
      <c r="E7" s="505"/>
      <c r="G7" s="507"/>
      <c r="H7" s="507"/>
      <c r="I7" s="507"/>
      <c r="J7" s="507"/>
      <c r="K7" s="509" t="s">
        <v>539</v>
      </c>
      <c r="L7" s="508"/>
      <c r="M7" s="509" t="str">
        <f>[13]DATA!D35</f>
        <v>: 153 M x 3 M</v>
      </c>
    </row>
    <row r="8" spans="1:17" ht="14.4" thickBot="1" x14ac:dyDescent="0.3">
      <c r="A8" s="505"/>
      <c r="B8" s="505"/>
      <c r="C8" s="505"/>
      <c r="D8" s="505"/>
      <c r="E8" s="505"/>
      <c r="F8" s="505"/>
      <c r="G8" s="511"/>
      <c r="H8" s="511"/>
      <c r="I8" s="511"/>
      <c r="J8" s="511"/>
      <c r="K8" s="511"/>
      <c r="L8" s="511"/>
      <c r="M8" s="505"/>
    </row>
    <row r="9" spans="1:17" ht="24" customHeight="1" x14ac:dyDescent="0.25">
      <c r="A9" s="1460" t="s">
        <v>540</v>
      </c>
      <c r="B9" s="1460"/>
      <c r="C9" s="1460"/>
      <c r="D9" s="1463" t="s">
        <v>541</v>
      </c>
      <c r="E9" s="1460" t="s">
        <v>542</v>
      </c>
      <c r="F9" s="1460" t="s">
        <v>543</v>
      </c>
      <c r="G9" s="1458" t="s">
        <v>643</v>
      </c>
      <c r="H9" s="1458" t="s">
        <v>644</v>
      </c>
      <c r="I9" s="1458" t="s">
        <v>645</v>
      </c>
      <c r="J9" s="1458" t="s">
        <v>646</v>
      </c>
      <c r="K9" s="1458" t="s">
        <v>647</v>
      </c>
      <c r="L9" s="1458" t="s">
        <v>648</v>
      </c>
      <c r="M9" s="1460" t="s">
        <v>544</v>
      </c>
    </row>
    <row r="10" spans="1:17" ht="24" customHeight="1" thickBot="1" x14ac:dyDescent="0.3">
      <c r="A10" s="1461"/>
      <c r="B10" s="1461"/>
      <c r="C10" s="1461"/>
      <c r="D10" s="1464"/>
      <c r="E10" s="1461"/>
      <c r="F10" s="1461"/>
      <c r="G10" s="1459"/>
      <c r="H10" s="1459"/>
      <c r="I10" s="1459"/>
      <c r="J10" s="1459"/>
      <c r="K10" s="1459"/>
      <c r="L10" s="1459"/>
      <c r="M10" s="1461"/>
    </row>
    <row r="11" spans="1:17" x14ac:dyDescent="0.25">
      <c r="A11" s="512" t="s">
        <v>545</v>
      </c>
      <c r="B11" s="513"/>
      <c r="C11" s="514"/>
      <c r="D11" s="515"/>
      <c r="E11" s="516"/>
      <c r="F11" s="516"/>
      <c r="G11" s="517"/>
      <c r="H11" s="518"/>
      <c r="I11" s="518"/>
      <c r="J11" s="518"/>
      <c r="K11" s="518"/>
      <c r="L11" s="518"/>
      <c r="M11" s="519"/>
    </row>
    <row r="12" spans="1:17" x14ac:dyDescent="0.25">
      <c r="A12" s="520" t="s">
        <v>546</v>
      </c>
      <c r="B12" s="521" t="s">
        <v>547</v>
      </c>
      <c r="C12" s="522"/>
      <c r="D12" s="523"/>
      <c r="E12" s="524"/>
      <c r="F12" s="523"/>
      <c r="G12" s="525"/>
      <c r="H12" s="526"/>
      <c r="I12" s="525"/>
      <c r="J12" s="525"/>
      <c r="K12" s="525"/>
      <c r="L12" s="525"/>
      <c r="M12" s="527">
        <f>SUM(M13:M22)</f>
        <v>48439000</v>
      </c>
      <c r="O12" s="528"/>
    </row>
    <row r="13" spans="1:17" ht="15" x14ac:dyDescent="0.25">
      <c r="A13" s="529">
        <v>1</v>
      </c>
      <c r="B13" s="530" t="s">
        <v>549</v>
      </c>
      <c r="C13" s="531"/>
      <c r="D13" s="532">
        <f>'[13]ANALISA GG PLAT'!D48</f>
        <v>2</v>
      </c>
      <c r="E13" s="533" t="s">
        <v>311</v>
      </c>
      <c r="F13" s="534">
        <f>'[13]HARGA SATUAN'!N8</f>
        <v>290000</v>
      </c>
      <c r="G13" s="535">
        <f>2%*F13</f>
        <v>5800</v>
      </c>
      <c r="H13" s="535">
        <f>F13+G13</f>
        <v>295800</v>
      </c>
      <c r="I13" s="536">
        <v>1</v>
      </c>
      <c r="J13" s="536">
        <v>1</v>
      </c>
      <c r="K13" s="537">
        <f>H13/(1-(IF(I13=1,(1/11),0))-(IF(J13=1,(15/1100),-2)))</f>
        <v>330335.02538071066</v>
      </c>
      <c r="L13" s="538">
        <f>ROUNDUP(K13,-3)</f>
        <v>331000</v>
      </c>
      <c r="M13" s="539">
        <f>D13*L13</f>
        <v>662000</v>
      </c>
      <c r="O13" s="528"/>
      <c r="Q13" s="528"/>
    </row>
    <row r="14" spans="1:17" ht="15" x14ac:dyDescent="0.25">
      <c r="A14" s="529">
        <f t="shared" ref="A14:A22" si="0">A13+1</f>
        <v>2</v>
      </c>
      <c r="B14" s="530" t="s">
        <v>649</v>
      </c>
      <c r="C14" s="531"/>
      <c r="D14" s="532">
        <f>'[13]ANALISA GG PLAT'!D50</f>
        <v>1</v>
      </c>
      <c r="E14" s="540" t="s">
        <v>311</v>
      </c>
      <c r="F14" s="534">
        <f>'[13]HARGA SATUAN'!N10</f>
        <v>200000</v>
      </c>
      <c r="G14" s="535">
        <f t="shared" ref="G14:G22" si="1">2%*F14</f>
        <v>4000</v>
      </c>
      <c r="H14" s="535">
        <f>F14+G14</f>
        <v>204000</v>
      </c>
      <c r="I14" s="536">
        <v>1</v>
      </c>
      <c r="J14" s="536">
        <v>1</v>
      </c>
      <c r="K14" s="537">
        <f>H14/(1-(IF(I14=1,(1/11),0))-(IF(J14=1,(15/1100),-2)))</f>
        <v>227817.25888324875</v>
      </c>
      <c r="L14" s="538">
        <f>ROUNDUP(K14,-3)</f>
        <v>228000</v>
      </c>
      <c r="M14" s="539">
        <f t="shared" ref="M14:M20" si="2">D14*L14</f>
        <v>228000</v>
      </c>
      <c r="O14" s="528"/>
      <c r="Q14" s="528"/>
    </row>
    <row r="15" spans="1:17" ht="15" x14ac:dyDescent="0.25">
      <c r="A15" s="529">
        <f t="shared" si="0"/>
        <v>3</v>
      </c>
      <c r="B15" s="530" t="s">
        <v>650</v>
      </c>
      <c r="C15" s="541"/>
      <c r="D15" s="542">
        <f>'[13]ANALISA GG PLAT'!D51</f>
        <v>2</v>
      </c>
      <c r="E15" s="533" t="s">
        <v>651</v>
      </c>
      <c r="F15" s="534">
        <v>1600000</v>
      </c>
      <c r="G15" s="535">
        <f t="shared" si="1"/>
        <v>32000</v>
      </c>
      <c r="H15" s="535">
        <f t="shared" ref="H15:H22" si="3">F15+G15</f>
        <v>1632000</v>
      </c>
      <c r="I15" s="536">
        <v>1</v>
      </c>
      <c r="J15" s="536">
        <v>1</v>
      </c>
      <c r="K15" s="537">
        <f>H15/(1-(IF(I15=1,(1/11),0))-(IF(J15=1,(15/1100),-2)))</f>
        <v>1822538.07106599</v>
      </c>
      <c r="L15" s="538">
        <f t="shared" ref="L15:L22" si="4">ROUNDUP(K15,-3)</f>
        <v>1823000</v>
      </c>
      <c r="M15" s="539">
        <f t="shared" si="2"/>
        <v>3646000</v>
      </c>
      <c r="O15" s="528"/>
      <c r="Q15" s="528"/>
    </row>
    <row r="16" spans="1:17" ht="15" x14ac:dyDescent="0.25">
      <c r="A16" s="529">
        <f t="shared" si="0"/>
        <v>4</v>
      </c>
      <c r="B16" s="530" t="s">
        <v>652</v>
      </c>
      <c r="C16" s="531"/>
      <c r="D16" s="532">
        <f>'[13]ANALISA GG PLAT'!D52</f>
        <v>15</v>
      </c>
      <c r="E16" s="543" t="s">
        <v>653</v>
      </c>
      <c r="F16" s="534">
        <v>7000</v>
      </c>
      <c r="G16" s="535">
        <f t="shared" si="1"/>
        <v>140</v>
      </c>
      <c r="H16" s="535">
        <f t="shared" si="3"/>
        <v>7140</v>
      </c>
      <c r="I16" s="536">
        <v>1</v>
      </c>
      <c r="J16" s="536">
        <v>1</v>
      </c>
      <c r="K16" s="537">
        <f t="shared" ref="K16:K22" si="5">H16/(1-(IF(I16=1,(1/11),0))-(IF(J16=1,(15/1100),-2)))</f>
        <v>7973.6040609137062</v>
      </c>
      <c r="L16" s="538">
        <f t="shared" si="4"/>
        <v>8000</v>
      </c>
      <c r="M16" s="539">
        <f t="shared" si="2"/>
        <v>120000</v>
      </c>
      <c r="O16" s="528"/>
      <c r="Q16" s="528"/>
    </row>
    <row r="17" spans="1:17" ht="15" x14ac:dyDescent="0.25">
      <c r="A17" s="529">
        <f t="shared" si="0"/>
        <v>5</v>
      </c>
      <c r="B17" s="530" t="s">
        <v>654</v>
      </c>
      <c r="C17" s="531"/>
      <c r="D17" s="532">
        <f>'[13]ANALISA GG PLAT'!D53</f>
        <v>1</v>
      </c>
      <c r="E17" s="543" t="s">
        <v>311</v>
      </c>
      <c r="F17" s="534">
        <v>250000</v>
      </c>
      <c r="G17" s="535">
        <f t="shared" si="1"/>
        <v>5000</v>
      </c>
      <c r="H17" s="535">
        <f t="shared" si="3"/>
        <v>255000</v>
      </c>
      <c r="I17" s="536">
        <v>1</v>
      </c>
      <c r="J17" s="536">
        <v>1</v>
      </c>
      <c r="K17" s="537">
        <f t="shared" si="5"/>
        <v>284771.57360406092</v>
      </c>
      <c r="L17" s="538">
        <f t="shared" si="4"/>
        <v>285000</v>
      </c>
      <c r="M17" s="539">
        <f t="shared" si="2"/>
        <v>285000</v>
      </c>
      <c r="O17" s="528"/>
      <c r="Q17" s="528"/>
    </row>
    <row r="18" spans="1:17" ht="15" x14ac:dyDescent="0.25">
      <c r="A18" s="529">
        <f t="shared" si="0"/>
        <v>6</v>
      </c>
      <c r="B18" s="530" t="str">
        <f>'[13]ANALISA GG PLAT'!B33</f>
        <v>Aspahalt Emulsi</v>
      </c>
      <c r="C18" s="531"/>
      <c r="D18" s="532">
        <f>'[13]ANALISA GG PLAT'!D54</f>
        <v>161</v>
      </c>
      <c r="E18" s="544" t="s">
        <v>314</v>
      </c>
      <c r="F18" s="534">
        <v>10000</v>
      </c>
      <c r="G18" s="535">
        <f t="shared" si="1"/>
        <v>200</v>
      </c>
      <c r="H18" s="535">
        <f t="shared" si="3"/>
        <v>10200</v>
      </c>
      <c r="I18" s="536">
        <v>1</v>
      </c>
      <c r="J18" s="536">
        <v>1</v>
      </c>
      <c r="K18" s="537">
        <f t="shared" si="5"/>
        <v>11390.862944162438</v>
      </c>
      <c r="L18" s="538">
        <f t="shared" si="4"/>
        <v>12000</v>
      </c>
      <c r="M18" s="539">
        <f t="shared" si="2"/>
        <v>1932000</v>
      </c>
      <c r="O18" s="528"/>
      <c r="Q18" s="528"/>
    </row>
    <row r="19" spans="1:17" ht="15" x14ac:dyDescent="0.25">
      <c r="A19" s="529">
        <f t="shared" si="0"/>
        <v>7</v>
      </c>
      <c r="B19" s="545" t="s">
        <v>655</v>
      </c>
      <c r="C19" s="531"/>
      <c r="D19" s="532">
        <v>1</v>
      </c>
      <c r="E19" s="543" t="s">
        <v>311</v>
      </c>
      <c r="F19" s="534">
        <v>400000</v>
      </c>
      <c r="G19" s="535">
        <f t="shared" si="1"/>
        <v>8000</v>
      </c>
      <c r="H19" s="535">
        <f t="shared" si="3"/>
        <v>408000</v>
      </c>
      <c r="I19" s="536">
        <v>1</v>
      </c>
      <c r="J19" s="536">
        <v>1</v>
      </c>
      <c r="K19" s="537">
        <f t="shared" si="5"/>
        <v>455634.51776649751</v>
      </c>
      <c r="L19" s="538">
        <f t="shared" si="4"/>
        <v>456000</v>
      </c>
      <c r="M19" s="539">
        <f t="shared" si="2"/>
        <v>456000</v>
      </c>
      <c r="O19" s="528"/>
      <c r="Q19" s="528"/>
    </row>
    <row r="20" spans="1:17" ht="15" x14ac:dyDescent="0.25">
      <c r="A20" s="529">
        <f t="shared" si="0"/>
        <v>8</v>
      </c>
      <c r="B20" s="545" t="str">
        <f>'[13]ANALISA GG PLAT'!B56</f>
        <v>Hotmix HRS</v>
      </c>
      <c r="C20" s="531"/>
      <c r="D20" s="532">
        <f>'[13]ANALISA GG PLAT'!D56</f>
        <v>31</v>
      </c>
      <c r="E20" s="543" t="s">
        <v>656</v>
      </c>
      <c r="F20" s="534">
        <v>1150000</v>
      </c>
      <c r="G20" s="535">
        <f t="shared" si="1"/>
        <v>23000</v>
      </c>
      <c r="H20" s="535">
        <f t="shared" si="3"/>
        <v>1173000</v>
      </c>
      <c r="I20" s="536">
        <v>1</v>
      </c>
      <c r="J20" s="536">
        <v>1</v>
      </c>
      <c r="K20" s="537">
        <f t="shared" si="5"/>
        <v>1309949.2385786802</v>
      </c>
      <c r="L20" s="538">
        <f t="shared" si="4"/>
        <v>1310000</v>
      </c>
      <c r="M20" s="539">
        <f t="shared" si="2"/>
        <v>40610000</v>
      </c>
      <c r="O20" s="528"/>
      <c r="Q20" s="528"/>
    </row>
    <row r="21" spans="1:17" x14ac:dyDescent="0.25">
      <c r="A21" s="529">
        <f t="shared" si="0"/>
        <v>9</v>
      </c>
      <c r="B21" s="546" t="s">
        <v>657</v>
      </c>
      <c r="C21" s="531"/>
      <c r="D21" s="532">
        <v>1</v>
      </c>
      <c r="E21" s="543" t="s">
        <v>317</v>
      </c>
      <c r="F21" s="534">
        <v>100000</v>
      </c>
      <c r="G21" s="535">
        <f t="shared" si="1"/>
        <v>2000</v>
      </c>
      <c r="H21" s="535">
        <f t="shared" si="3"/>
        <v>102000</v>
      </c>
      <c r="I21" s="536">
        <v>1</v>
      </c>
      <c r="J21" s="536">
        <v>1</v>
      </c>
      <c r="K21" s="537">
        <f t="shared" si="5"/>
        <v>113908.62944162438</v>
      </c>
      <c r="L21" s="538">
        <f t="shared" si="4"/>
        <v>114000</v>
      </c>
      <c r="M21" s="539">
        <f>D21*F21</f>
        <v>100000</v>
      </c>
      <c r="O21" s="528"/>
      <c r="Q21" s="528"/>
    </row>
    <row r="22" spans="1:17" x14ac:dyDescent="0.25">
      <c r="A22" s="529">
        <f t="shared" si="0"/>
        <v>10</v>
      </c>
      <c r="B22" s="547" t="s">
        <v>320</v>
      </c>
      <c r="C22" s="531"/>
      <c r="D22" s="532">
        <v>1</v>
      </c>
      <c r="E22" s="543" t="s">
        <v>317</v>
      </c>
      <c r="F22" s="534">
        <f>'[13]HARGA SATUAN'!N18</f>
        <v>400000</v>
      </c>
      <c r="G22" s="548">
        <f t="shared" si="1"/>
        <v>8000</v>
      </c>
      <c r="H22" s="535">
        <f t="shared" si="3"/>
        <v>408000</v>
      </c>
      <c r="I22" s="536">
        <v>1</v>
      </c>
      <c r="J22" s="536">
        <v>1</v>
      </c>
      <c r="K22" s="537">
        <f t="shared" si="5"/>
        <v>455634.51776649751</v>
      </c>
      <c r="L22" s="549">
        <f t="shared" si="4"/>
        <v>456000</v>
      </c>
      <c r="M22" s="539">
        <f>D22*F22</f>
        <v>400000</v>
      </c>
      <c r="O22" s="528"/>
      <c r="Q22" s="528"/>
    </row>
    <row r="23" spans="1:17" x14ac:dyDescent="0.25">
      <c r="A23" s="550"/>
      <c r="B23" s="551"/>
      <c r="C23" s="552"/>
      <c r="D23" s="553"/>
      <c r="E23" s="552"/>
      <c r="F23" s="554" t="s">
        <v>559</v>
      </c>
      <c r="G23" s="555"/>
      <c r="H23" s="555"/>
      <c r="I23" s="556"/>
      <c r="J23" s="556"/>
      <c r="K23" s="557"/>
      <c r="L23" s="558"/>
      <c r="M23" s="559">
        <f>M12</f>
        <v>48439000</v>
      </c>
      <c r="O23" s="528"/>
      <c r="Q23" s="528"/>
    </row>
    <row r="24" spans="1:17" x14ac:dyDescent="0.25">
      <c r="A24" s="560" t="s">
        <v>560</v>
      </c>
      <c r="B24" s="561"/>
      <c r="C24" s="562"/>
      <c r="D24" s="563"/>
      <c r="E24" s="562"/>
      <c r="F24" s="562"/>
      <c r="G24" s="564"/>
      <c r="H24" s="564"/>
      <c r="I24" s="565"/>
      <c r="J24" s="565"/>
      <c r="K24" s="566"/>
      <c r="L24" s="567"/>
      <c r="M24" s="568"/>
      <c r="O24" s="528"/>
      <c r="Q24" s="528"/>
    </row>
    <row r="25" spans="1:17" x14ac:dyDescent="0.25">
      <c r="A25" s="520" t="s">
        <v>546</v>
      </c>
      <c r="B25" s="522" t="s">
        <v>658</v>
      </c>
      <c r="C25" s="524"/>
      <c r="D25" s="523"/>
      <c r="E25" s="569"/>
      <c r="F25" s="570"/>
      <c r="G25" s="571"/>
      <c r="H25" s="571"/>
      <c r="I25" s="571"/>
      <c r="J25" s="571"/>
      <c r="K25" s="571"/>
      <c r="L25" s="571"/>
      <c r="M25" s="527">
        <f>M28</f>
        <v>6100000</v>
      </c>
      <c r="O25" s="528"/>
      <c r="Q25" s="528"/>
    </row>
    <row r="26" spans="1:17" s="581" customFormat="1" x14ac:dyDescent="0.25">
      <c r="A26" s="572">
        <v>1</v>
      </c>
      <c r="B26" s="573" t="s">
        <v>659</v>
      </c>
      <c r="C26" s="574"/>
      <c r="D26" s="575">
        <v>6</v>
      </c>
      <c r="E26" s="576" t="s">
        <v>660</v>
      </c>
      <c r="F26" s="577">
        <v>600000</v>
      </c>
      <c r="G26" s="578"/>
      <c r="H26" s="578"/>
      <c r="I26" s="578"/>
      <c r="J26" s="578"/>
      <c r="K26" s="578"/>
      <c r="L26" s="578"/>
      <c r="M26" s="579">
        <f>D26*F26</f>
        <v>3600000</v>
      </c>
      <c r="N26" s="506"/>
      <c r="O26" s="528"/>
      <c r="P26" s="506"/>
      <c r="Q26" s="580"/>
    </row>
    <row r="27" spans="1:17" s="581" customFormat="1" x14ac:dyDescent="0.25">
      <c r="A27" s="572">
        <v>2</v>
      </c>
      <c r="B27" s="573" t="s">
        <v>661</v>
      </c>
      <c r="C27" s="574"/>
      <c r="D27" s="575">
        <v>1</v>
      </c>
      <c r="E27" s="576" t="s">
        <v>660</v>
      </c>
      <c r="F27" s="577">
        <v>2500000</v>
      </c>
      <c r="G27" s="582"/>
      <c r="H27" s="582"/>
      <c r="I27" s="582"/>
      <c r="J27" s="582"/>
      <c r="K27" s="582"/>
      <c r="L27" s="583"/>
      <c r="M27" s="579">
        <f>D27*F27</f>
        <v>2500000</v>
      </c>
      <c r="N27" s="506"/>
      <c r="O27" s="528"/>
      <c r="P27" s="506"/>
      <c r="Q27" s="580"/>
    </row>
    <row r="28" spans="1:17" x14ac:dyDescent="0.25">
      <c r="A28" s="584"/>
      <c r="B28" s="552"/>
      <c r="C28" s="552"/>
      <c r="D28" s="553"/>
      <c r="E28" s="552"/>
      <c r="F28" s="554" t="s">
        <v>566</v>
      </c>
      <c r="G28" s="582"/>
      <c r="H28" s="582"/>
      <c r="I28" s="582"/>
      <c r="J28" s="582"/>
      <c r="K28" s="582"/>
      <c r="L28" s="583"/>
      <c r="M28" s="559">
        <f>SUM(M26:M27)</f>
        <v>6100000</v>
      </c>
      <c r="O28" s="528"/>
      <c r="Q28" s="528"/>
    </row>
    <row r="29" spans="1:17" x14ac:dyDescent="0.25">
      <c r="A29" s="512" t="s">
        <v>567</v>
      </c>
      <c r="B29" s="513"/>
      <c r="C29" s="585"/>
      <c r="D29" s="586"/>
      <c r="E29" s="587"/>
      <c r="F29" s="588"/>
      <c r="G29" s="589"/>
      <c r="H29" s="589"/>
      <c r="I29" s="589"/>
      <c r="J29" s="589"/>
      <c r="K29" s="589"/>
      <c r="L29" s="583"/>
      <c r="M29" s="590"/>
      <c r="N29" s="591"/>
    </row>
    <row r="30" spans="1:17" x14ac:dyDescent="0.25">
      <c r="A30" s="592">
        <v>1</v>
      </c>
      <c r="B30" s="513" t="s">
        <v>570</v>
      </c>
      <c r="C30" s="585"/>
      <c r="D30" s="586">
        <f>'[13]ANALISA GG PLAT'!D64</f>
        <v>4</v>
      </c>
      <c r="E30" s="593" t="s">
        <v>662</v>
      </c>
      <c r="F30" s="594">
        <f>'[13]HARGA SATUAN'!N28</f>
        <v>150000</v>
      </c>
      <c r="G30" s="589"/>
      <c r="H30" s="589"/>
      <c r="I30" s="589"/>
      <c r="J30" s="589"/>
      <c r="K30" s="589"/>
      <c r="L30" s="583"/>
      <c r="M30" s="595">
        <f>D30*F30</f>
        <v>600000</v>
      </c>
      <c r="N30" s="591"/>
    </row>
    <row r="31" spans="1:17" x14ac:dyDescent="0.25">
      <c r="A31" s="572">
        <v>2</v>
      </c>
      <c r="B31" s="596" t="s">
        <v>663</v>
      </c>
      <c r="C31" s="597"/>
      <c r="D31" s="598">
        <f>'[13]ANALISA GG PLAT'!D63</f>
        <v>11</v>
      </c>
      <c r="E31" s="593" t="s">
        <v>662</v>
      </c>
      <c r="F31" s="599">
        <f>'[13]HARGA SATUAN'!N27</f>
        <v>100000</v>
      </c>
      <c r="G31" s="600"/>
      <c r="H31" s="600"/>
      <c r="I31" s="600"/>
      <c r="J31" s="600"/>
      <c r="K31" s="600"/>
      <c r="L31" s="583"/>
      <c r="M31" s="595">
        <f>D31*F31</f>
        <v>1100000</v>
      </c>
      <c r="N31" s="591"/>
    </row>
    <row r="32" spans="1:17" ht="14.4" thickBot="1" x14ac:dyDescent="0.3">
      <c r="A32" s="550"/>
      <c r="B32" s="552"/>
      <c r="C32" s="552"/>
      <c r="D32" s="472"/>
      <c r="E32" s="601"/>
      <c r="F32" s="554" t="s">
        <v>581</v>
      </c>
      <c r="G32" s="602"/>
      <c r="H32" s="602"/>
      <c r="I32" s="602"/>
      <c r="J32" s="602"/>
      <c r="K32" s="602"/>
      <c r="L32" s="602"/>
      <c r="M32" s="559">
        <f>SUM(M30:M31)</f>
        <v>1700000</v>
      </c>
      <c r="N32" s="591"/>
    </row>
    <row r="33" spans="1:16" ht="16.2" thickBot="1" x14ac:dyDescent="0.3">
      <c r="A33" s="603"/>
      <c r="B33" s="604"/>
      <c r="C33" s="604"/>
      <c r="D33" s="605"/>
      <c r="E33" s="606"/>
      <c r="F33" s="607" t="s">
        <v>582</v>
      </c>
      <c r="G33" s="608"/>
      <c r="H33" s="608"/>
      <c r="I33" s="608"/>
      <c r="J33" s="608"/>
      <c r="K33" s="608"/>
      <c r="L33" s="608"/>
      <c r="M33" s="609">
        <f>M32+M28+M23</f>
        <v>56239000</v>
      </c>
      <c r="N33" s="610"/>
      <c r="O33" s="610"/>
      <c r="P33" s="610"/>
    </row>
    <row r="34" spans="1:16" x14ac:dyDescent="0.25">
      <c r="G34" s="511"/>
      <c r="H34" s="511"/>
      <c r="I34" s="511"/>
      <c r="J34" s="511"/>
      <c r="K34" s="511"/>
      <c r="L34" s="511"/>
      <c r="N34" s="610"/>
      <c r="O34" s="610"/>
      <c r="P34" s="610"/>
    </row>
    <row r="35" spans="1:16" s="610" customFormat="1" ht="13.2" x14ac:dyDescent="0.25">
      <c r="A35" s="131"/>
      <c r="B35" s="131"/>
      <c r="C35" s="109"/>
      <c r="D35" s="132"/>
      <c r="H35" s="611"/>
      <c r="I35" s="611"/>
      <c r="J35" s="611"/>
      <c r="K35" s="611"/>
      <c r="L35" s="1359" t="s">
        <v>1002</v>
      </c>
      <c r="M35" s="1359"/>
      <c r="N35" s="1359"/>
      <c r="O35" s="612"/>
      <c r="P35" s="612"/>
    </row>
    <row r="36" spans="1:16" s="610" customFormat="1" ht="13.2" x14ac:dyDescent="0.25">
      <c r="A36" s="1356" t="s">
        <v>11</v>
      </c>
      <c r="B36" s="1356"/>
      <c r="C36" s="1356"/>
      <c r="D36" s="1356"/>
      <c r="H36" s="611"/>
      <c r="I36" s="611"/>
      <c r="J36" s="611"/>
      <c r="K36" s="611"/>
      <c r="L36" s="1356" t="s">
        <v>21</v>
      </c>
      <c r="M36" s="1356"/>
      <c r="N36" s="1356"/>
      <c r="O36" s="506"/>
      <c r="P36" s="506"/>
    </row>
    <row r="37" spans="1:16" s="610" customFormat="1" ht="13.2" x14ac:dyDescent="0.25">
      <c r="A37" s="72"/>
      <c r="B37" s="72"/>
      <c r="C37" s="70"/>
      <c r="D37" s="72"/>
      <c r="H37" s="613"/>
      <c r="I37" s="613"/>
      <c r="J37" s="613"/>
      <c r="K37" s="613"/>
      <c r="L37" s="72"/>
      <c r="M37" s="72"/>
      <c r="N37" s="72"/>
      <c r="O37" s="506"/>
      <c r="P37" s="506"/>
    </row>
    <row r="38" spans="1:16" s="610" customFormat="1" ht="13.2" x14ac:dyDescent="0.25">
      <c r="A38" s="72"/>
      <c r="B38" s="72"/>
      <c r="C38" s="70"/>
      <c r="D38" s="72"/>
      <c r="H38" s="613"/>
      <c r="I38" s="613"/>
      <c r="J38" s="613"/>
      <c r="K38" s="613"/>
      <c r="L38" s="72"/>
      <c r="M38" s="72"/>
      <c r="N38" s="72"/>
      <c r="O38" s="506"/>
      <c r="P38" s="506"/>
    </row>
    <row r="39" spans="1:16" s="610" customFormat="1" ht="13.2" x14ac:dyDescent="0.25">
      <c r="A39" s="72"/>
      <c r="B39" s="72"/>
      <c r="C39" s="70"/>
      <c r="D39" s="72"/>
      <c r="H39" s="613"/>
      <c r="I39" s="613"/>
      <c r="J39" s="613"/>
      <c r="K39" s="613"/>
      <c r="L39" s="72"/>
      <c r="M39" s="72"/>
      <c r="N39" s="72"/>
      <c r="O39" s="506"/>
      <c r="P39" s="506"/>
    </row>
    <row r="40" spans="1:16" s="610" customFormat="1" ht="13.2" x14ac:dyDescent="0.25">
      <c r="A40" s="1355" t="s">
        <v>1000</v>
      </c>
      <c r="B40" s="1355"/>
      <c r="C40" s="1355"/>
      <c r="D40" s="1355"/>
      <c r="H40" s="613"/>
      <c r="I40" s="613"/>
      <c r="J40" s="613"/>
      <c r="K40" s="613"/>
      <c r="L40" s="1355" t="s">
        <v>1003</v>
      </c>
      <c r="M40" s="1355"/>
      <c r="N40" s="1355"/>
      <c r="O40" s="506"/>
      <c r="P40" s="506"/>
    </row>
    <row r="41" spans="1:16" s="612" customFormat="1" x14ac:dyDescent="0.25">
      <c r="A41" s="615"/>
      <c r="B41" s="615"/>
      <c r="C41" s="614"/>
      <c r="D41" s="615"/>
      <c r="E41" s="615"/>
      <c r="F41" s="614"/>
      <c r="G41" s="613"/>
      <c r="H41" s="613"/>
      <c r="I41" s="613"/>
      <c r="J41" s="613"/>
      <c r="K41" s="613"/>
      <c r="L41" s="613"/>
      <c r="N41" s="506"/>
      <c r="O41" s="506"/>
      <c r="P41" s="506"/>
    </row>
    <row r="42" spans="1:16" x14ac:dyDescent="0.25">
      <c r="G42" s="616"/>
      <c r="H42" s="616"/>
      <c r="I42" s="616"/>
      <c r="J42" s="616"/>
      <c r="K42" s="616"/>
      <c r="L42" s="616"/>
    </row>
  </sheetData>
  <mergeCells count="17">
    <mergeCell ref="L9:L10"/>
    <mergeCell ref="M9:M10"/>
    <mergeCell ref="A2:M2"/>
    <mergeCell ref="A9:C10"/>
    <mergeCell ref="D9:D10"/>
    <mergeCell ref="E9:E10"/>
    <mergeCell ref="F9:F10"/>
    <mergeCell ref="G9:G10"/>
    <mergeCell ref="H9:H10"/>
    <mergeCell ref="I9:I10"/>
    <mergeCell ref="J9:J10"/>
    <mergeCell ref="K9:K10"/>
    <mergeCell ref="L35:N35"/>
    <mergeCell ref="A36:D36"/>
    <mergeCell ref="L36:N36"/>
    <mergeCell ref="A40:D40"/>
    <mergeCell ref="L40:N40"/>
  </mergeCells>
  <conditionalFormatting sqref="N29:N32">
    <cfRule type="cellIs" dxfId="5" priority="1" operator="greaterThan">
      <formula>1</formula>
    </cfRule>
    <cfRule type="cellIs" dxfId="4" priority="2" operator="greaterThan">
      <formula>1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10000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N61"/>
  <sheetViews>
    <sheetView zoomScale="86" workbookViewId="0">
      <selection activeCell="L20" sqref="L20"/>
    </sheetView>
  </sheetViews>
  <sheetFormatPr defaultColWidth="10" defaultRowHeight="13.8" x14ac:dyDescent="0.25"/>
  <cols>
    <col min="1" max="1" width="4.33203125" style="316" customWidth="1"/>
    <col min="2" max="2" width="12" style="316" customWidth="1"/>
    <col min="3" max="3" width="27.33203125" style="316" customWidth="1"/>
    <col min="4" max="4" width="8.6640625" style="316" customWidth="1"/>
    <col min="5" max="5" width="7" style="316" customWidth="1"/>
    <col min="6" max="6" width="8.44140625" style="316" customWidth="1"/>
    <col min="7" max="7" width="9.109375" style="316" customWidth="1"/>
    <col min="8" max="8" width="8.33203125" style="898" customWidth="1"/>
    <col min="9" max="9" width="13.44140625" style="898" customWidth="1"/>
    <col min="10" max="10" width="10" style="898" customWidth="1"/>
    <col min="11" max="11" width="15.109375" style="898" bestFit="1" customWidth="1"/>
    <col min="12" max="12" width="9.33203125" style="898"/>
    <col min="13" max="13" width="28.44140625" style="898" customWidth="1"/>
    <col min="14" max="14" width="24.6640625" style="898" customWidth="1"/>
    <col min="15" max="256" width="9.33203125" style="898"/>
    <col min="257" max="257" width="4.33203125" style="898" customWidth="1"/>
    <col min="258" max="258" width="12" style="898" customWidth="1"/>
    <col min="259" max="259" width="27.33203125" style="898" customWidth="1"/>
    <col min="260" max="260" width="10.44140625" style="898" customWidth="1"/>
    <col min="261" max="261" width="9.77734375" style="898" customWidth="1"/>
    <col min="262" max="262" width="24.6640625" style="898" customWidth="1"/>
    <col min="263" max="263" width="23.6640625" style="898" customWidth="1"/>
    <col min="264" max="264" width="11.77734375" style="898" bestFit="1" customWidth="1"/>
    <col min="265" max="265" width="15.6640625" style="898" bestFit="1" customWidth="1"/>
    <col min="266" max="266" width="11" style="898" bestFit="1" customWidth="1"/>
    <col min="267" max="267" width="15.109375" style="898" bestFit="1" customWidth="1"/>
    <col min="268" max="268" width="9.33203125" style="898"/>
    <col min="269" max="269" width="28.44140625" style="898" customWidth="1"/>
    <col min="270" max="512" width="9.33203125" style="898"/>
    <col min="513" max="513" width="4.33203125" style="898" customWidth="1"/>
    <col min="514" max="514" width="12" style="898" customWidth="1"/>
    <col min="515" max="515" width="27.33203125" style="898" customWidth="1"/>
    <col min="516" max="516" width="10.44140625" style="898" customWidth="1"/>
    <col min="517" max="517" width="9.77734375" style="898" customWidth="1"/>
    <col min="518" max="518" width="24.6640625" style="898" customWidth="1"/>
    <col min="519" max="519" width="23.6640625" style="898" customWidth="1"/>
    <col min="520" max="520" width="11.77734375" style="898" bestFit="1" customWidth="1"/>
    <col min="521" max="521" width="15.6640625" style="898" bestFit="1" customWidth="1"/>
    <col min="522" max="522" width="11" style="898" bestFit="1" customWidth="1"/>
    <col min="523" max="523" width="15.109375" style="898" bestFit="1" customWidth="1"/>
    <col min="524" max="524" width="9.33203125" style="898"/>
    <col min="525" max="525" width="28.44140625" style="898" customWidth="1"/>
    <col min="526" max="768" width="9.33203125" style="898"/>
    <col min="769" max="769" width="4.33203125" style="898" customWidth="1"/>
    <col min="770" max="770" width="12" style="898" customWidth="1"/>
    <col min="771" max="771" width="27.33203125" style="898" customWidth="1"/>
    <col min="772" max="772" width="10.44140625" style="898" customWidth="1"/>
    <col min="773" max="773" width="9.77734375" style="898" customWidth="1"/>
    <col min="774" max="774" width="24.6640625" style="898" customWidth="1"/>
    <col min="775" max="775" width="23.6640625" style="898" customWidth="1"/>
    <col min="776" max="776" width="11.77734375" style="898" bestFit="1" customWidth="1"/>
    <col min="777" max="777" width="15.6640625" style="898" bestFit="1" customWidth="1"/>
    <col min="778" max="778" width="11" style="898" bestFit="1" customWidth="1"/>
    <col min="779" max="779" width="15.109375" style="898" bestFit="1" customWidth="1"/>
    <col min="780" max="780" width="9.33203125" style="898"/>
    <col min="781" max="781" width="28.44140625" style="898" customWidth="1"/>
    <col min="782" max="1024" width="9.33203125" style="898"/>
    <col min="1025" max="1025" width="4.33203125" style="898" customWidth="1"/>
    <col min="1026" max="1026" width="12" style="898" customWidth="1"/>
    <col min="1027" max="1027" width="27.33203125" style="898" customWidth="1"/>
    <col min="1028" max="1028" width="10.44140625" style="898" customWidth="1"/>
    <col min="1029" max="1029" width="9.77734375" style="898" customWidth="1"/>
    <col min="1030" max="1030" width="24.6640625" style="898" customWidth="1"/>
    <col min="1031" max="1031" width="23.6640625" style="898" customWidth="1"/>
    <col min="1032" max="1032" width="11.77734375" style="898" bestFit="1" customWidth="1"/>
    <col min="1033" max="1033" width="15.6640625" style="898" bestFit="1" customWidth="1"/>
    <col min="1034" max="1034" width="11" style="898" bestFit="1" customWidth="1"/>
    <col min="1035" max="1035" width="15.109375" style="898" bestFit="1" customWidth="1"/>
    <col min="1036" max="1036" width="9.33203125" style="898"/>
    <col min="1037" max="1037" width="28.44140625" style="898" customWidth="1"/>
    <col min="1038" max="1280" width="9.33203125" style="898"/>
    <col min="1281" max="1281" width="4.33203125" style="898" customWidth="1"/>
    <col min="1282" max="1282" width="12" style="898" customWidth="1"/>
    <col min="1283" max="1283" width="27.33203125" style="898" customWidth="1"/>
    <col min="1284" max="1284" width="10.44140625" style="898" customWidth="1"/>
    <col min="1285" max="1285" width="9.77734375" style="898" customWidth="1"/>
    <col min="1286" max="1286" width="24.6640625" style="898" customWidth="1"/>
    <col min="1287" max="1287" width="23.6640625" style="898" customWidth="1"/>
    <col min="1288" max="1288" width="11.77734375" style="898" bestFit="1" customWidth="1"/>
    <col min="1289" max="1289" width="15.6640625" style="898" bestFit="1" customWidth="1"/>
    <col min="1290" max="1290" width="11" style="898" bestFit="1" customWidth="1"/>
    <col min="1291" max="1291" width="15.109375" style="898" bestFit="1" customWidth="1"/>
    <col min="1292" max="1292" width="9.33203125" style="898"/>
    <col min="1293" max="1293" width="28.44140625" style="898" customWidth="1"/>
    <col min="1294" max="1536" width="9.33203125" style="898"/>
    <col min="1537" max="1537" width="4.33203125" style="898" customWidth="1"/>
    <col min="1538" max="1538" width="12" style="898" customWidth="1"/>
    <col min="1539" max="1539" width="27.33203125" style="898" customWidth="1"/>
    <col min="1540" max="1540" width="10.44140625" style="898" customWidth="1"/>
    <col min="1541" max="1541" width="9.77734375" style="898" customWidth="1"/>
    <col min="1542" max="1542" width="24.6640625" style="898" customWidth="1"/>
    <col min="1543" max="1543" width="23.6640625" style="898" customWidth="1"/>
    <col min="1544" max="1544" width="11.77734375" style="898" bestFit="1" customWidth="1"/>
    <col min="1545" max="1545" width="15.6640625" style="898" bestFit="1" customWidth="1"/>
    <col min="1546" max="1546" width="11" style="898" bestFit="1" customWidth="1"/>
    <col min="1547" max="1547" width="15.109375" style="898" bestFit="1" customWidth="1"/>
    <col min="1548" max="1548" width="9.33203125" style="898"/>
    <col min="1549" max="1549" width="28.44140625" style="898" customWidth="1"/>
    <col min="1550" max="1792" width="9.33203125" style="898"/>
    <col min="1793" max="1793" width="4.33203125" style="898" customWidth="1"/>
    <col min="1794" max="1794" width="12" style="898" customWidth="1"/>
    <col min="1795" max="1795" width="27.33203125" style="898" customWidth="1"/>
    <col min="1796" max="1796" width="10.44140625" style="898" customWidth="1"/>
    <col min="1797" max="1797" width="9.77734375" style="898" customWidth="1"/>
    <col min="1798" max="1798" width="24.6640625" style="898" customWidth="1"/>
    <col min="1799" max="1799" width="23.6640625" style="898" customWidth="1"/>
    <col min="1800" max="1800" width="11.77734375" style="898" bestFit="1" customWidth="1"/>
    <col min="1801" max="1801" width="15.6640625" style="898" bestFit="1" customWidth="1"/>
    <col min="1802" max="1802" width="11" style="898" bestFit="1" customWidth="1"/>
    <col min="1803" max="1803" width="15.109375" style="898" bestFit="1" customWidth="1"/>
    <col min="1804" max="1804" width="9.33203125" style="898"/>
    <col min="1805" max="1805" width="28.44140625" style="898" customWidth="1"/>
    <col min="1806" max="2048" width="9.33203125" style="898"/>
    <col min="2049" max="2049" width="4.33203125" style="898" customWidth="1"/>
    <col min="2050" max="2050" width="12" style="898" customWidth="1"/>
    <col min="2051" max="2051" width="27.33203125" style="898" customWidth="1"/>
    <col min="2052" max="2052" width="10.44140625" style="898" customWidth="1"/>
    <col min="2053" max="2053" width="9.77734375" style="898" customWidth="1"/>
    <col min="2054" max="2054" width="24.6640625" style="898" customWidth="1"/>
    <col min="2055" max="2055" width="23.6640625" style="898" customWidth="1"/>
    <col min="2056" max="2056" width="11.77734375" style="898" bestFit="1" customWidth="1"/>
    <col min="2057" max="2057" width="15.6640625" style="898" bestFit="1" customWidth="1"/>
    <col min="2058" max="2058" width="11" style="898" bestFit="1" customWidth="1"/>
    <col min="2059" max="2059" width="15.109375" style="898" bestFit="1" customWidth="1"/>
    <col min="2060" max="2060" width="9.33203125" style="898"/>
    <col min="2061" max="2061" width="28.44140625" style="898" customWidth="1"/>
    <col min="2062" max="2304" width="9.33203125" style="898"/>
    <col min="2305" max="2305" width="4.33203125" style="898" customWidth="1"/>
    <col min="2306" max="2306" width="12" style="898" customWidth="1"/>
    <col min="2307" max="2307" width="27.33203125" style="898" customWidth="1"/>
    <col min="2308" max="2308" width="10.44140625" style="898" customWidth="1"/>
    <col min="2309" max="2309" width="9.77734375" style="898" customWidth="1"/>
    <col min="2310" max="2310" width="24.6640625" style="898" customWidth="1"/>
    <col min="2311" max="2311" width="23.6640625" style="898" customWidth="1"/>
    <col min="2312" max="2312" width="11.77734375" style="898" bestFit="1" customWidth="1"/>
    <col min="2313" max="2313" width="15.6640625" style="898" bestFit="1" customWidth="1"/>
    <col min="2314" max="2314" width="11" style="898" bestFit="1" customWidth="1"/>
    <col min="2315" max="2315" width="15.109375" style="898" bestFit="1" customWidth="1"/>
    <col min="2316" max="2316" width="9.33203125" style="898"/>
    <col min="2317" max="2317" width="28.44140625" style="898" customWidth="1"/>
    <col min="2318" max="2560" width="9.33203125" style="898"/>
    <col min="2561" max="2561" width="4.33203125" style="898" customWidth="1"/>
    <col min="2562" max="2562" width="12" style="898" customWidth="1"/>
    <col min="2563" max="2563" width="27.33203125" style="898" customWidth="1"/>
    <col min="2564" max="2564" width="10.44140625" style="898" customWidth="1"/>
    <col min="2565" max="2565" width="9.77734375" style="898" customWidth="1"/>
    <col min="2566" max="2566" width="24.6640625" style="898" customWidth="1"/>
    <col min="2567" max="2567" width="23.6640625" style="898" customWidth="1"/>
    <col min="2568" max="2568" width="11.77734375" style="898" bestFit="1" customWidth="1"/>
    <col min="2569" max="2569" width="15.6640625" style="898" bestFit="1" customWidth="1"/>
    <col min="2570" max="2570" width="11" style="898" bestFit="1" customWidth="1"/>
    <col min="2571" max="2571" width="15.109375" style="898" bestFit="1" customWidth="1"/>
    <col min="2572" max="2572" width="9.33203125" style="898"/>
    <col min="2573" max="2573" width="28.44140625" style="898" customWidth="1"/>
    <col min="2574" max="2816" width="9.33203125" style="898"/>
    <col min="2817" max="2817" width="4.33203125" style="898" customWidth="1"/>
    <col min="2818" max="2818" width="12" style="898" customWidth="1"/>
    <col min="2819" max="2819" width="27.33203125" style="898" customWidth="1"/>
    <col min="2820" max="2820" width="10.44140625" style="898" customWidth="1"/>
    <col min="2821" max="2821" width="9.77734375" style="898" customWidth="1"/>
    <col min="2822" max="2822" width="24.6640625" style="898" customWidth="1"/>
    <col min="2823" max="2823" width="23.6640625" style="898" customWidth="1"/>
    <col min="2824" max="2824" width="11.77734375" style="898" bestFit="1" customWidth="1"/>
    <col min="2825" max="2825" width="15.6640625" style="898" bestFit="1" customWidth="1"/>
    <col min="2826" max="2826" width="11" style="898" bestFit="1" customWidth="1"/>
    <col min="2827" max="2827" width="15.109375" style="898" bestFit="1" customWidth="1"/>
    <col min="2828" max="2828" width="9.33203125" style="898"/>
    <col min="2829" max="2829" width="28.44140625" style="898" customWidth="1"/>
    <col min="2830" max="3072" width="9.33203125" style="898"/>
    <col min="3073" max="3073" width="4.33203125" style="898" customWidth="1"/>
    <col min="3074" max="3074" width="12" style="898" customWidth="1"/>
    <col min="3075" max="3075" width="27.33203125" style="898" customWidth="1"/>
    <col min="3076" max="3076" width="10.44140625" style="898" customWidth="1"/>
    <col min="3077" max="3077" width="9.77734375" style="898" customWidth="1"/>
    <col min="3078" max="3078" width="24.6640625" style="898" customWidth="1"/>
    <col min="3079" max="3079" width="23.6640625" style="898" customWidth="1"/>
    <col min="3080" max="3080" width="11.77734375" style="898" bestFit="1" customWidth="1"/>
    <col min="3081" max="3081" width="15.6640625" style="898" bestFit="1" customWidth="1"/>
    <col min="3082" max="3082" width="11" style="898" bestFit="1" customWidth="1"/>
    <col min="3083" max="3083" width="15.109375" style="898" bestFit="1" customWidth="1"/>
    <col min="3084" max="3084" width="9.33203125" style="898"/>
    <col min="3085" max="3085" width="28.44140625" style="898" customWidth="1"/>
    <col min="3086" max="3328" width="9.33203125" style="898"/>
    <col min="3329" max="3329" width="4.33203125" style="898" customWidth="1"/>
    <col min="3330" max="3330" width="12" style="898" customWidth="1"/>
    <col min="3331" max="3331" width="27.33203125" style="898" customWidth="1"/>
    <col min="3332" max="3332" width="10.44140625" style="898" customWidth="1"/>
    <col min="3333" max="3333" width="9.77734375" style="898" customWidth="1"/>
    <col min="3334" max="3334" width="24.6640625" style="898" customWidth="1"/>
    <col min="3335" max="3335" width="23.6640625" style="898" customWidth="1"/>
    <col min="3336" max="3336" width="11.77734375" style="898" bestFit="1" customWidth="1"/>
    <col min="3337" max="3337" width="15.6640625" style="898" bestFit="1" customWidth="1"/>
    <col min="3338" max="3338" width="11" style="898" bestFit="1" customWidth="1"/>
    <col min="3339" max="3339" width="15.109375" style="898" bestFit="1" customWidth="1"/>
    <col min="3340" max="3340" width="9.33203125" style="898"/>
    <col min="3341" max="3341" width="28.44140625" style="898" customWidth="1"/>
    <col min="3342" max="3584" width="9.33203125" style="898"/>
    <col min="3585" max="3585" width="4.33203125" style="898" customWidth="1"/>
    <col min="3586" max="3586" width="12" style="898" customWidth="1"/>
    <col min="3587" max="3587" width="27.33203125" style="898" customWidth="1"/>
    <col min="3588" max="3588" width="10.44140625" style="898" customWidth="1"/>
    <col min="3589" max="3589" width="9.77734375" style="898" customWidth="1"/>
    <col min="3590" max="3590" width="24.6640625" style="898" customWidth="1"/>
    <col min="3591" max="3591" width="23.6640625" style="898" customWidth="1"/>
    <col min="3592" max="3592" width="11.77734375" style="898" bestFit="1" customWidth="1"/>
    <col min="3593" max="3593" width="15.6640625" style="898" bestFit="1" customWidth="1"/>
    <col min="3594" max="3594" width="11" style="898" bestFit="1" customWidth="1"/>
    <col min="3595" max="3595" width="15.109375" style="898" bestFit="1" customWidth="1"/>
    <col min="3596" max="3596" width="9.33203125" style="898"/>
    <col min="3597" max="3597" width="28.44140625" style="898" customWidth="1"/>
    <col min="3598" max="3840" width="9.33203125" style="898"/>
    <col min="3841" max="3841" width="4.33203125" style="898" customWidth="1"/>
    <col min="3842" max="3842" width="12" style="898" customWidth="1"/>
    <col min="3843" max="3843" width="27.33203125" style="898" customWidth="1"/>
    <col min="3844" max="3844" width="10.44140625" style="898" customWidth="1"/>
    <col min="3845" max="3845" width="9.77734375" style="898" customWidth="1"/>
    <col min="3846" max="3846" width="24.6640625" style="898" customWidth="1"/>
    <col min="3847" max="3847" width="23.6640625" style="898" customWidth="1"/>
    <col min="3848" max="3848" width="11.77734375" style="898" bestFit="1" customWidth="1"/>
    <col min="3849" max="3849" width="15.6640625" style="898" bestFit="1" customWidth="1"/>
    <col min="3850" max="3850" width="11" style="898" bestFit="1" customWidth="1"/>
    <col min="3851" max="3851" width="15.109375" style="898" bestFit="1" customWidth="1"/>
    <col min="3852" max="3852" width="9.33203125" style="898"/>
    <col min="3853" max="3853" width="28.44140625" style="898" customWidth="1"/>
    <col min="3854" max="4096" width="9.33203125" style="898"/>
    <col min="4097" max="4097" width="4.33203125" style="898" customWidth="1"/>
    <col min="4098" max="4098" width="12" style="898" customWidth="1"/>
    <col min="4099" max="4099" width="27.33203125" style="898" customWidth="1"/>
    <col min="4100" max="4100" width="10.44140625" style="898" customWidth="1"/>
    <col min="4101" max="4101" width="9.77734375" style="898" customWidth="1"/>
    <col min="4102" max="4102" width="24.6640625" style="898" customWidth="1"/>
    <col min="4103" max="4103" width="23.6640625" style="898" customWidth="1"/>
    <col min="4104" max="4104" width="11.77734375" style="898" bestFit="1" customWidth="1"/>
    <col min="4105" max="4105" width="15.6640625" style="898" bestFit="1" customWidth="1"/>
    <col min="4106" max="4106" width="11" style="898" bestFit="1" customWidth="1"/>
    <col min="4107" max="4107" width="15.109375" style="898" bestFit="1" customWidth="1"/>
    <col min="4108" max="4108" width="9.33203125" style="898"/>
    <col min="4109" max="4109" width="28.44140625" style="898" customWidth="1"/>
    <col min="4110" max="4352" width="9.33203125" style="898"/>
    <col min="4353" max="4353" width="4.33203125" style="898" customWidth="1"/>
    <col min="4354" max="4354" width="12" style="898" customWidth="1"/>
    <col min="4355" max="4355" width="27.33203125" style="898" customWidth="1"/>
    <col min="4356" max="4356" width="10.44140625" style="898" customWidth="1"/>
    <col min="4357" max="4357" width="9.77734375" style="898" customWidth="1"/>
    <col min="4358" max="4358" width="24.6640625" style="898" customWidth="1"/>
    <col min="4359" max="4359" width="23.6640625" style="898" customWidth="1"/>
    <col min="4360" max="4360" width="11.77734375" style="898" bestFit="1" customWidth="1"/>
    <col min="4361" max="4361" width="15.6640625" style="898" bestFit="1" customWidth="1"/>
    <col min="4362" max="4362" width="11" style="898" bestFit="1" customWidth="1"/>
    <col min="4363" max="4363" width="15.109375" style="898" bestFit="1" customWidth="1"/>
    <col min="4364" max="4364" width="9.33203125" style="898"/>
    <col min="4365" max="4365" width="28.44140625" style="898" customWidth="1"/>
    <col min="4366" max="4608" width="9.33203125" style="898"/>
    <col min="4609" max="4609" width="4.33203125" style="898" customWidth="1"/>
    <col min="4610" max="4610" width="12" style="898" customWidth="1"/>
    <col min="4611" max="4611" width="27.33203125" style="898" customWidth="1"/>
    <col min="4612" max="4612" width="10.44140625" style="898" customWidth="1"/>
    <col min="4613" max="4613" width="9.77734375" style="898" customWidth="1"/>
    <col min="4614" max="4614" width="24.6640625" style="898" customWidth="1"/>
    <col min="4615" max="4615" width="23.6640625" style="898" customWidth="1"/>
    <col min="4616" max="4616" width="11.77734375" style="898" bestFit="1" customWidth="1"/>
    <col min="4617" max="4617" width="15.6640625" style="898" bestFit="1" customWidth="1"/>
    <col min="4618" max="4618" width="11" style="898" bestFit="1" customWidth="1"/>
    <col min="4619" max="4619" width="15.109375" style="898" bestFit="1" customWidth="1"/>
    <col min="4620" max="4620" width="9.33203125" style="898"/>
    <col min="4621" max="4621" width="28.44140625" style="898" customWidth="1"/>
    <col min="4622" max="4864" width="9.33203125" style="898"/>
    <col min="4865" max="4865" width="4.33203125" style="898" customWidth="1"/>
    <col min="4866" max="4866" width="12" style="898" customWidth="1"/>
    <col min="4867" max="4867" width="27.33203125" style="898" customWidth="1"/>
    <col min="4868" max="4868" width="10.44140625" style="898" customWidth="1"/>
    <col min="4869" max="4869" width="9.77734375" style="898" customWidth="1"/>
    <col min="4870" max="4870" width="24.6640625" style="898" customWidth="1"/>
    <col min="4871" max="4871" width="23.6640625" style="898" customWidth="1"/>
    <col min="4872" max="4872" width="11.77734375" style="898" bestFit="1" customWidth="1"/>
    <col min="4873" max="4873" width="15.6640625" style="898" bestFit="1" customWidth="1"/>
    <col min="4874" max="4874" width="11" style="898" bestFit="1" customWidth="1"/>
    <col min="4875" max="4875" width="15.109375" style="898" bestFit="1" customWidth="1"/>
    <col min="4876" max="4876" width="9.33203125" style="898"/>
    <col min="4877" max="4877" width="28.44140625" style="898" customWidth="1"/>
    <col min="4878" max="5120" width="9.33203125" style="898"/>
    <col min="5121" max="5121" width="4.33203125" style="898" customWidth="1"/>
    <col min="5122" max="5122" width="12" style="898" customWidth="1"/>
    <col min="5123" max="5123" width="27.33203125" style="898" customWidth="1"/>
    <col min="5124" max="5124" width="10.44140625" style="898" customWidth="1"/>
    <col min="5125" max="5125" width="9.77734375" style="898" customWidth="1"/>
    <col min="5126" max="5126" width="24.6640625" style="898" customWidth="1"/>
    <col min="5127" max="5127" width="23.6640625" style="898" customWidth="1"/>
    <col min="5128" max="5128" width="11.77734375" style="898" bestFit="1" customWidth="1"/>
    <col min="5129" max="5129" width="15.6640625" style="898" bestFit="1" customWidth="1"/>
    <col min="5130" max="5130" width="11" style="898" bestFit="1" customWidth="1"/>
    <col min="5131" max="5131" width="15.109375" style="898" bestFit="1" customWidth="1"/>
    <col min="5132" max="5132" width="9.33203125" style="898"/>
    <col min="5133" max="5133" width="28.44140625" style="898" customWidth="1"/>
    <col min="5134" max="5376" width="9.33203125" style="898"/>
    <col min="5377" max="5377" width="4.33203125" style="898" customWidth="1"/>
    <col min="5378" max="5378" width="12" style="898" customWidth="1"/>
    <col min="5379" max="5379" width="27.33203125" style="898" customWidth="1"/>
    <col min="5380" max="5380" width="10.44140625" style="898" customWidth="1"/>
    <col min="5381" max="5381" width="9.77734375" style="898" customWidth="1"/>
    <col min="5382" max="5382" width="24.6640625" style="898" customWidth="1"/>
    <col min="5383" max="5383" width="23.6640625" style="898" customWidth="1"/>
    <col min="5384" max="5384" width="11.77734375" style="898" bestFit="1" customWidth="1"/>
    <col min="5385" max="5385" width="15.6640625" style="898" bestFit="1" customWidth="1"/>
    <col min="5386" max="5386" width="11" style="898" bestFit="1" customWidth="1"/>
    <col min="5387" max="5387" width="15.109375" style="898" bestFit="1" customWidth="1"/>
    <col min="5388" max="5388" width="9.33203125" style="898"/>
    <col min="5389" max="5389" width="28.44140625" style="898" customWidth="1"/>
    <col min="5390" max="5632" width="9.33203125" style="898"/>
    <col min="5633" max="5633" width="4.33203125" style="898" customWidth="1"/>
    <col min="5634" max="5634" width="12" style="898" customWidth="1"/>
    <col min="5635" max="5635" width="27.33203125" style="898" customWidth="1"/>
    <col min="5636" max="5636" width="10.44140625" style="898" customWidth="1"/>
    <col min="5637" max="5637" width="9.77734375" style="898" customWidth="1"/>
    <col min="5638" max="5638" width="24.6640625" style="898" customWidth="1"/>
    <col min="5639" max="5639" width="23.6640625" style="898" customWidth="1"/>
    <col min="5640" max="5640" width="11.77734375" style="898" bestFit="1" customWidth="1"/>
    <col min="5641" max="5641" width="15.6640625" style="898" bestFit="1" customWidth="1"/>
    <col min="5642" max="5642" width="11" style="898" bestFit="1" customWidth="1"/>
    <col min="5643" max="5643" width="15.109375" style="898" bestFit="1" customWidth="1"/>
    <col min="5644" max="5644" width="9.33203125" style="898"/>
    <col min="5645" max="5645" width="28.44140625" style="898" customWidth="1"/>
    <col min="5646" max="5888" width="9.33203125" style="898"/>
    <col min="5889" max="5889" width="4.33203125" style="898" customWidth="1"/>
    <col min="5890" max="5890" width="12" style="898" customWidth="1"/>
    <col min="5891" max="5891" width="27.33203125" style="898" customWidth="1"/>
    <col min="5892" max="5892" width="10.44140625" style="898" customWidth="1"/>
    <col min="5893" max="5893" width="9.77734375" style="898" customWidth="1"/>
    <col min="5894" max="5894" width="24.6640625" style="898" customWidth="1"/>
    <col min="5895" max="5895" width="23.6640625" style="898" customWidth="1"/>
    <col min="5896" max="5896" width="11.77734375" style="898" bestFit="1" customWidth="1"/>
    <col min="5897" max="5897" width="15.6640625" style="898" bestFit="1" customWidth="1"/>
    <col min="5898" max="5898" width="11" style="898" bestFit="1" customWidth="1"/>
    <col min="5899" max="5899" width="15.109375" style="898" bestFit="1" customWidth="1"/>
    <col min="5900" max="5900" width="9.33203125" style="898"/>
    <col min="5901" max="5901" width="28.44140625" style="898" customWidth="1"/>
    <col min="5902" max="6144" width="9.33203125" style="898"/>
    <col min="6145" max="6145" width="4.33203125" style="898" customWidth="1"/>
    <col min="6146" max="6146" width="12" style="898" customWidth="1"/>
    <col min="6147" max="6147" width="27.33203125" style="898" customWidth="1"/>
    <col min="6148" max="6148" width="10.44140625" style="898" customWidth="1"/>
    <col min="6149" max="6149" width="9.77734375" style="898" customWidth="1"/>
    <col min="6150" max="6150" width="24.6640625" style="898" customWidth="1"/>
    <col min="6151" max="6151" width="23.6640625" style="898" customWidth="1"/>
    <col min="6152" max="6152" width="11.77734375" style="898" bestFit="1" customWidth="1"/>
    <col min="6153" max="6153" width="15.6640625" style="898" bestFit="1" customWidth="1"/>
    <col min="6154" max="6154" width="11" style="898" bestFit="1" customWidth="1"/>
    <col min="6155" max="6155" width="15.109375" style="898" bestFit="1" customWidth="1"/>
    <col min="6156" max="6156" width="9.33203125" style="898"/>
    <col min="6157" max="6157" width="28.44140625" style="898" customWidth="1"/>
    <col min="6158" max="6400" width="9.33203125" style="898"/>
    <col min="6401" max="6401" width="4.33203125" style="898" customWidth="1"/>
    <col min="6402" max="6402" width="12" style="898" customWidth="1"/>
    <col min="6403" max="6403" width="27.33203125" style="898" customWidth="1"/>
    <col min="6404" max="6404" width="10.44140625" style="898" customWidth="1"/>
    <col min="6405" max="6405" width="9.77734375" style="898" customWidth="1"/>
    <col min="6406" max="6406" width="24.6640625" style="898" customWidth="1"/>
    <col min="6407" max="6407" width="23.6640625" style="898" customWidth="1"/>
    <col min="6408" max="6408" width="11.77734375" style="898" bestFit="1" customWidth="1"/>
    <col min="6409" max="6409" width="15.6640625" style="898" bestFit="1" customWidth="1"/>
    <col min="6410" max="6410" width="11" style="898" bestFit="1" customWidth="1"/>
    <col min="6411" max="6411" width="15.109375" style="898" bestFit="1" customWidth="1"/>
    <col min="6412" max="6412" width="9.33203125" style="898"/>
    <col min="6413" max="6413" width="28.44140625" style="898" customWidth="1"/>
    <col min="6414" max="6656" width="9.33203125" style="898"/>
    <col min="6657" max="6657" width="4.33203125" style="898" customWidth="1"/>
    <col min="6658" max="6658" width="12" style="898" customWidth="1"/>
    <col min="6659" max="6659" width="27.33203125" style="898" customWidth="1"/>
    <col min="6660" max="6660" width="10.44140625" style="898" customWidth="1"/>
    <col min="6661" max="6661" width="9.77734375" style="898" customWidth="1"/>
    <col min="6662" max="6662" width="24.6640625" style="898" customWidth="1"/>
    <col min="6663" max="6663" width="23.6640625" style="898" customWidth="1"/>
    <col min="6664" max="6664" width="11.77734375" style="898" bestFit="1" customWidth="1"/>
    <col min="6665" max="6665" width="15.6640625" style="898" bestFit="1" customWidth="1"/>
    <col min="6666" max="6666" width="11" style="898" bestFit="1" customWidth="1"/>
    <col min="6667" max="6667" width="15.109375" style="898" bestFit="1" customWidth="1"/>
    <col min="6668" max="6668" width="9.33203125" style="898"/>
    <col min="6669" max="6669" width="28.44140625" style="898" customWidth="1"/>
    <col min="6670" max="6912" width="9.33203125" style="898"/>
    <col min="6913" max="6913" width="4.33203125" style="898" customWidth="1"/>
    <col min="6914" max="6914" width="12" style="898" customWidth="1"/>
    <col min="6915" max="6915" width="27.33203125" style="898" customWidth="1"/>
    <col min="6916" max="6916" width="10.44140625" style="898" customWidth="1"/>
    <col min="6917" max="6917" width="9.77734375" style="898" customWidth="1"/>
    <col min="6918" max="6918" width="24.6640625" style="898" customWidth="1"/>
    <col min="6919" max="6919" width="23.6640625" style="898" customWidth="1"/>
    <col min="6920" max="6920" width="11.77734375" style="898" bestFit="1" customWidth="1"/>
    <col min="6921" max="6921" width="15.6640625" style="898" bestFit="1" customWidth="1"/>
    <col min="6922" max="6922" width="11" style="898" bestFit="1" customWidth="1"/>
    <col min="6923" max="6923" width="15.109375" style="898" bestFit="1" customWidth="1"/>
    <col min="6924" max="6924" width="9.33203125" style="898"/>
    <col min="6925" max="6925" width="28.44140625" style="898" customWidth="1"/>
    <col min="6926" max="7168" width="9.33203125" style="898"/>
    <col min="7169" max="7169" width="4.33203125" style="898" customWidth="1"/>
    <col min="7170" max="7170" width="12" style="898" customWidth="1"/>
    <col min="7171" max="7171" width="27.33203125" style="898" customWidth="1"/>
    <col min="7172" max="7172" width="10.44140625" style="898" customWidth="1"/>
    <col min="7173" max="7173" width="9.77734375" style="898" customWidth="1"/>
    <col min="7174" max="7174" width="24.6640625" style="898" customWidth="1"/>
    <col min="7175" max="7175" width="23.6640625" style="898" customWidth="1"/>
    <col min="7176" max="7176" width="11.77734375" style="898" bestFit="1" customWidth="1"/>
    <col min="7177" max="7177" width="15.6640625" style="898" bestFit="1" customWidth="1"/>
    <col min="7178" max="7178" width="11" style="898" bestFit="1" customWidth="1"/>
    <col min="7179" max="7179" width="15.109375" style="898" bestFit="1" customWidth="1"/>
    <col min="7180" max="7180" width="9.33203125" style="898"/>
    <col min="7181" max="7181" width="28.44140625" style="898" customWidth="1"/>
    <col min="7182" max="7424" width="9.33203125" style="898"/>
    <col min="7425" max="7425" width="4.33203125" style="898" customWidth="1"/>
    <col min="7426" max="7426" width="12" style="898" customWidth="1"/>
    <col min="7427" max="7427" width="27.33203125" style="898" customWidth="1"/>
    <col min="7428" max="7428" width="10.44140625" style="898" customWidth="1"/>
    <col min="7429" max="7429" width="9.77734375" style="898" customWidth="1"/>
    <col min="7430" max="7430" width="24.6640625" style="898" customWidth="1"/>
    <col min="7431" max="7431" width="23.6640625" style="898" customWidth="1"/>
    <col min="7432" max="7432" width="11.77734375" style="898" bestFit="1" customWidth="1"/>
    <col min="7433" max="7433" width="15.6640625" style="898" bestFit="1" customWidth="1"/>
    <col min="7434" max="7434" width="11" style="898" bestFit="1" customWidth="1"/>
    <col min="7435" max="7435" width="15.109375" style="898" bestFit="1" customWidth="1"/>
    <col min="7436" max="7436" width="9.33203125" style="898"/>
    <col min="7437" max="7437" width="28.44140625" style="898" customWidth="1"/>
    <col min="7438" max="7680" width="9.33203125" style="898"/>
    <col min="7681" max="7681" width="4.33203125" style="898" customWidth="1"/>
    <col min="7682" max="7682" width="12" style="898" customWidth="1"/>
    <col min="7683" max="7683" width="27.33203125" style="898" customWidth="1"/>
    <col min="7684" max="7684" width="10.44140625" style="898" customWidth="1"/>
    <col min="7685" max="7685" width="9.77734375" style="898" customWidth="1"/>
    <col min="7686" max="7686" width="24.6640625" style="898" customWidth="1"/>
    <col min="7687" max="7687" width="23.6640625" style="898" customWidth="1"/>
    <col min="7688" max="7688" width="11.77734375" style="898" bestFit="1" customWidth="1"/>
    <col min="7689" max="7689" width="15.6640625" style="898" bestFit="1" customWidth="1"/>
    <col min="7690" max="7690" width="11" style="898" bestFit="1" customWidth="1"/>
    <col min="7691" max="7691" width="15.109375" style="898" bestFit="1" customWidth="1"/>
    <col min="7692" max="7692" width="9.33203125" style="898"/>
    <col min="7693" max="7693" width="28.44140625" style="898" customWidth="1"/>
    <col min="7694" max="7936" width="9.33203125" style="898"/>
    <col min="7937" max="7937" width="4.33203125" style="898" customWidth="1"/>
    <col min="7938" max="7938" width="12" style="898" customWidth="1"/>
    <col min="7939" max="7939" width="27.33203125" style="898" customWidth="1"/>
    <col min="7940" max="7940" width="10.44140625" style="898" customWidth="1"/>
    <col min="7941" max="7941" width="9.77734375" style="898" customWidth="1"/>
    <col min="7942" max="7942" width="24.6640625" style="898" customWidth="1"/>
    <col min="7943" max="7943" width="23.6640625" style="898" customWidth="1"/>
    <col min="7944" max="7944" width="11.77734375" style="898" bestFit="1" customWidth="1"/>
    <col min="7945" max="7945" width="15.6640625" style="898" bestFit="1" customWidth="1"/>
    <col min="7946" max="7946" width="11" style="898" bestFit="1" customWidth="1"/>
    <col min="7947" max="7947" width="15.109375" style="898" bestFit="1" customWidth="1"/>
    <col min="7948" max="7948" width="9.33203125" style="898"/>
    <col min="7949" max="7949" width="28.44140625" style="898" customWidth="1"/>
    <col min="7950" max="8192" width="9.33203125" style="898"/>
    <col min="8193" max="8193" width="4.33203125" style="898" customWidth="1"/>
    <col min="8194" max="8194" width="12" style="898" customWidth="1"/>
    <col min="8195" max="8195" width="27.33203125" style="898" customWidth="1"/>
    <col min="8196" max="8196" width="10.44140625" style="898" customWidth="1"/>
    <col min="8197" max="8197" width="9.77734375" style="898" customWidth="1"/>
    <col min="8198" max="8198" width="24.6640625" style="898" customWidth="1"/>
    <col min="8199" max="8199" width="23.6640625" style="898" customWidth="1"/>
    <col min="8200" max="8200" width="11.77734375" style="898" bestFit="1" customWidth="1"/>
    <col min="8201" max="8201" width="15.6640625" style="898" bestFit="1" customWidth="1"/>
    <col min="8202" max="8202" width="11" style="898" bestFit="1" customWidth="1"/>
    <col min="8203" max="8203" width="15.109375" style="898" bestFit="1" customWidth="1"/>
    <col min="8204" max="8204" width="9.33203125" style="898"/>
    <col min="8205" max="8205" width="28.44140625" style="898" customWidth="1"/>
    <col min="8206" max="8448" width="9.33203125" style="898"/>
    <col min="8449" max="8449" width="4.33203125" style="898" customWidth="1"/>
    <col min="8450" max="8450" width="12" style="898" customWidth="1"/>
    <col min="8451" max="8451" width="27.33203125" style="898" customWidth="1"/>
    <col min="8452" max="8452" width="10.44140625" style="898" customWidth="1"/>
    <col min="8453" max="8453" width="9.77734375" style="898" customWidth="1"/>
    <col min="8454" max="8454" width="24.6640625" style="898" customWidth="1"/>
    <col min="8455" max="8455" width="23.6640625" style="898" customWidth="1"/>
    <col min="8456" max="8456" width="11.77734375" style="898" bestFit="1" customWidth="1"/>
    <col min="8457" max="8457" width="15.6640625" style="898" bestFit="1" customWidth="1"/>
    <col min="8458" max="8458" width="11" style="898" bestFit="1" customWidth="1"/>
    <col min="8459" max="8459" width="15.109375" style="898" bestFit="1" customWidth="1"/>
    <col min="8460" max="8460" width="9.33203125" style="898"/>
    <col min="8461" max="8461" width="28.44140625" style="898" customWidth="1"/>
    <col min="8462" max="8704" width="9.33203125" style="898"/>
    <col min="8705" max="8705" width="4.33203125" style="898" customWidth="1"/>
    <col min="8706" max="8706" width="12" style="898" customWidth="1"/>
    <col min="8707" max="8707" width="27.33203125" style="898" customWidth="1"/>
    <col min="8708" max="8708" width="10.44140625" style="898" customWidth="1"/>
    <col min="8709" max="8709" width="9.77734375" style="898" customWidth="1"/>
    <col min="8710" max="8710" width="24.6640625" style="898" customWidth="1"/>
    <col min="8711" max="8711" width="23.6640625" style="898" customWidth="1"/>
    <col min="8712" max="8712" width="11.77734375" style="898" bestFit="1" customWidth="1"/>
    <col min="8713" max="8713" width="15.6640625" style="898" bestFit="1" customWidth="1"/>
    <col min="8714" max="8714" width="11" style="898" bestFit="1" customWidth="1"/>
    <col min="8715" max="8715" width="15.109375" style="898" bestFit="1" customWidth="1"/>
    <col min="8716" max="8716" width="9.33203125" style="898"/>
    <col min="8717" max="8717" width="28.44140625" style="898" customWidth="1"/>
    <col min="8718" max="8960" width="9.33203125" style="898"/>
    <col min="8961" max="8961" width="4.33203125" style="898" customWidth="1"/>
    <col min="8962" max="8962" width="12" style="898" customWidth="1"/>
    <col min="8963" max="8963" width="27.33203125" style="898" customWidth="1"/>
    <col min="8964" max="8964" width="10.44140625" style="898" customWidth="1"/>
    <col min="8965" max="8965" width="9.77734375" style="898" customWidth="1"/>
    <col min="8966" max="8966" width="24.6640625" style="898" customWidth="1"/>
    <col min="8967" max="8967" width="23.6640625" style="898" customWidth="1"/>
    <col min="8968" max="8968" width="11.77734375" style="898" bestFit="1" customWidth="1"/>
    <col min="8969" max="8969" width="15.6640625" style="898" bestFit="1" customWidth="1"/>
    <col min="8970" max="8970" width="11" style="898" bestFit="1" customWidth="1"/>
    <col min="8971" max="8971" width="15.109375" style="898" bestFit="1" customWidth="1"/>
    <col min="8972" max="8972" width="9.33203125" style="898"/>
    <col min="8973" max="8973" width="28.44140625" style="898" customWidth="1"/>
    <col min="8974" max="9216" width="9.33203125" style="898"/>
    <col min="9217" max="9217" width="4.33203125" style="898" customWidth="1"/>
    <col min="9218" max="9218" width="12" style="898" customWidth="1"/>
    <col min="9219" max="9219" width="27.33203125" style="898" customWidth="1"/>
    <col min="9220" max="9220" width="10.44140625" style="898" customWidth="1"/>
    <col min="9221" max="9221" width="9.77734375" style="898" customWidth="1"/>
    <col min="9222" max="9222" width="24.6640625" style="898" customWidth="1"/>
    <col min="9223" max="9223" width="23.6640625" style="898" customWidth="1"/>
    <col min="9224" max="9224" width="11.77734375" style="898" bestFit="1" customWidth="1"/>
    <col min="9225" max="9225" width="15.6640625" style="898" bestFit="1" customWidth="1"/>
    <col min="9226" max="9226" width="11" style="898" bestFit="1" customWidth="1"/>
    <col min="9227" max="9227" width="15.109375" style="898" bestFit="1" customWidth="1"/>
    <col min="9228" max="9228" width="9.33203125" style="898"/>
    <col min="9229" max="9229" width="28.44140625" style="898" customWidth="1"/>
    <col min="9230" max="9472" width="9.33203125" style="898"/>
    <col min="9473" max="9473" width="4.33203125" style="898" customWidth="1"/>
    <col min="9474" max="9474" width="12" style="898" customWidth="1"/>
    <col min="9475" max="9475" width="27.33203125" style="898" customWidth="1"/>
    <col min="9476" max="9476" width="10.44140625" style="898" customWidth="1"/>
    <col min="9477" max="9477" width="9.77734375" style="898" customWidth="1"/>
    <col min="9478" max="9478" width="24.6640625" style="898" customWidth="1"/>
    <col min="9479" max="9479" width="23.6640625" style="898" customWidth="1"/>
    <col min="9480" max="9480" width="11.77734375" style="898" bestFit="1" customWidth="1"/>
    <col min="9481" max="9481" width="15.6640625" style="898" bestFit="1" customWidth="1"/>
    <col min="9482" max="9482" width="11" style="898" bestFit="1" customWidth="1"/>
    <col min="9483" max="9483" width="15.109375" style="898" bestFit="1" customWidth="1"/>
    <col min="9484" max="9484" width="9.33203125" style="898"/>
    <col min="9485" max="9485" width="28.44140625" style="898" customWidth="1"/>
    <col min="9486" max="9728" width="9.33203125" style="898"/>
    <col min="9729" max="9729" width="4.33203125" style="898" customWidth="1"/>
    <col min="9730" max="9730" width="12" style="898" customWidth="1"/>
    <col min="9731" max="9731" width="27.33203125" style="898" customWidth="1"/>
    <col min="9732" max="9732" width="10.44140625" style="898" customWidth="1"/>
    <col min="9733" max="9733" width="9.77734375" style="898" customWidth="1"/>
    <col min="9734" max="9734" width="24.6640625" style="898" customWidth="1"/>
    <col min="9735" max="9735" width="23.6640625" style="898" customWidth="1"/>
    <col min="9736" max="9736" width="11.77734375" style="898" bestFit="1" customWidth="1"/>
    <col min="9737" max="9737" width="15.6640625" style="898" bestFit="1" customWidth="1"/>
    <col min="9738" max="9738" width="11" style="898" bestFit="1" customWidth="1"/>
    <col min="9739" max="9739" width="15.109375" style="898" bestFit="1" customWidth="1"/>
    <col min="9740" max="9740" width="9.33203125" style="898"/>
    <col min="9741" max="9741" width="28.44140625" style="898" customWidth="1"/>
    <col min="9742" max="9984" width="9.33203125" style="898"/>
    <col min="9985" max="9985" width="4.33203125" style="898" customWidth="1"/>
    <col min="9986" max="9986" width="12" style="898" customWidth="1"/>
    <col min="9987" max="9987" width="27.33203125" style="898" customWidth="1"/>
    <col min="9988" max="9988" width="10.44140625" style="898" customWidth="1"/>
    <col min="9989" max="9989" width="9.77734375" style="898" customWidth="1"/>
    <col min="9990" max="9990" width="24.6640625" style="898" customWidth="1"/>
    <col min="9991" max="9991" width="23.6640625" style="898" customWidth="1"/>
    <col min="9992" max="9992" width="11.77734375" style="898" bestFit="1" customWidth="1"/>
    <col min="9993" max="9993" width="15.6640625" style="898" bestFit="1" customWidth="1"/>
    <col min="9994" max="9994" width="11" style="898" bestFit="1" customWidth="1"/>
    <col min="9995" max="9995" width="15.109375" style="898" bestFit="1" customWidth="1"/>
    <col min="9996" max="9996" width="9.33203125" style="898"/>
    <col min="9997" max="9997" width="28.44140625" style="898" customWidth="1"/>
    <col min="9998" max="10240" width="9.33203125" style="898"/>
    <col min="10241" max="10241" width="4.33203125" style="898" customWidth="1"/>
    <col min="10242" max="10242" width="12" style="898" customWidth="1"/>
    <col min="10243" max="10243" width="27.33203125" style="898" customWidth="1"/>
    <col min="10244" max="10244" width="10.44140625" style="898" customWidth="1"/>
    <col min="10245" max="10245" width="9.77734375" style="898" customWidth="1"/>
    <col min="10246" max="10246" width="24.6640625" style="898" customWidth="1"/>
    <col min="10247" max="10247" width="23.6640625" style="898" customWidth="1"/>
    <col min="10248" max="10248" width="11.77734375" style="898" bestFit="1" customWidth="1"/>
    <col min="10249" max="10249" width="15.6640625" style="898" bestFit="1" customWidth="1"/>
    <col min="10250" max="10250" width="11" style="898" bestFit="1" customWidth="1"/>
    <col min="10251" max="10251" width="15.109375" style="898" bestFit="1" customWidth="1"/>
    <col min="10252" max="10252" width="9.33203125" style="898"/>
    <col min="10253" max="10253" width="28.44140625" style="898" customWidth="1"/>
    <col min="10254" max="10496" width="9.33203125" style="898"/>
    <col min="10497" max="10497" width="4.33203125" style="898" customWidth="1"/>
    <col min="10498" max="10498" width="12" style="898" customWidth="1"/>
    <col min="10499" max="10499" width="27.33203125" style="898" customWidth="1"/>
    <col min="10500" max="10500" width="10.44140625" style="898" customWidth="1"/>
    <col min="10501" max="10501" width="9.77734375" style="898" customWidth="1"/>
    <col min="10502" max="10502" width="24.6640625" style="898" customWidth="1"/>
    <col min="10503" max="10503" width="23.6640625" style="898" customWidth="1"/>
    <col min="10504" max="10504" width="11.77734375" style="898" bestFit="1" customWidth="1"/>
    <col min="10505" max="10505" width="15.6640625" style="898" bestFit="1" customWidth="1"/>
    <col min="10506" max="10506" width="11" style="898" bestFit="1" customWidth="1"/>
    <col min="10507" max="10507" width="15.109375" style="898" bestFit="1" customWidth="1"/>
    <col min="10508" max="10508" width="9.33203125" style="898"/>
    <col min="10509" max="10509" width="28.44140625" style="898" customWidth="1"/>
    <col min="10510" max="10752" width="9.33203125" style="898"/>
    <col min="10753" max="10753" width="4.33203125" style="898" customWidth="1"/>
    <col min="10754" max="10754" width="12" style="898" customWidth="1"/>
    <col min="10755" max="10755" width="27.33203125" style="898" customWidth="1"/>
    <col min="10756" max="10756" width="10.44140625" style="898" customWidth="1"/>
    <col min="10757" max="10757" width="9.77734375" style="898" customWidth="1"/>
    <col min="10758" max="10758" width="24.6640625" style="898" customWidth="1"/>
    <col min="10759" max="10759" width="23.6640625" style="898" customWidth="1"/>
    <col min="10760" max="10760" width="11.77734375" style="898" bestFit="1" customWidth="1"/>
    <col min="10761" max="10761" width="15.6640625" style="898" bestFit="1" customWidth="1"/>
    <col min="10762" max="10762" width="11" style="898" bestFit="1" customWidth="1"/>
    <col min="10763" max="10763" width="15.109375" style="898" bestFit="1" customWidth="1"/>
    <col min="10764" max="10764" width="9.33203125" style="898"/>
    <col min="10765" max="10765" width="28.44140625" style="898" customWidth="1"/>
    <col min="10766" max="11008" width="9.33203125" style="898"/>
    <col min="11009" max="11009" width="4.33203125" style="898" customWidth="1"/>
    <col min="11010" max="11010" width="12" style="898" customWidth="1"/>
    <col min="11011" max="11011" width="27.33203125" style="898" customWidth="1"/>
    <col min="11012" max="11012" width="10.44140625" style="898" customWidth="1"/>
    <col min="11013" max="11013" width="9.77734375" style="898" customWidth="1"/>
    <col min="11014" max="11014" width="24.6640625" style="898" customWidth="1"/>
    <col min="11015" max="11015" width="23.6640625" style="898" customWidth="1"/>
    <col min="11016" max="11016" width="11.77734375" style="898" bestFit="1" customWidth="1"/>
    <col min="11017" max="11017" width="15.6640625" style="898" bestFit="1" customWidth="1"/>
    <col min="11018" max="11018" width="11" style="898" bestFit="1" customWidth="1"/>
    <col min="11019" max="11019" width="15.109375" style="898" bestFit="1" customWidth="1"/>
    <col min="11020" max="11020" width="9.33203125" style="898"/>
    <col min="11021" max="11021" width="28.44140625" style="898" customWidth="1"/>
    <col min="11022" max="11264" width="9.33203125" style="898"/>
    <col min="11265" max="11265" width="4.33203125" style="898" customWidth="1"/>
    <col min="11266" max="11266" width="12" style="898" customWidth="1"/>
    <col min="11267" max="11267" width="27.33203125" style="898" customWidth="1"/>
    <col min="11268" max="11268" width="10.44140625" style="898" customWidth="1"/>
    <col min="11269" max="11269" width="9.77734375" style="898" customWidth="1"/>
    <col min="11270" max="11270" width="24.6640625" style="898" customWidth="1"/>
    <col min="11271" max="11271" width="23.6640625" style="898" customWidth="1"/>
    <col min="11272" max="11272" width="11.77734375" style="898" bestFit="1" customWidth="1"/>
    <col min="11273" max="11273" width="15.6640625" style="898" bestFit="1" customWidth="1"/>
    <col min="11274" max="11274" width="11" style="898" bestFit="1" customWidth="1"/>
    <col min="11275" max="11275" width="15.109375" style="898" bestFit="1" customWidth="1"/>
    <col min="11276" max="11276" width="9.33203125" style="898"/>
    <col min="11277" max="11277" width="28.44140625" style="898" customWidth="1"/>
    <col min="11278" max="11520" width="9.33203125" style="898"/>
    <col min="11521" max="11521" width="4.33203125" style="898" customWidth="1"/>
    <col min="11522" max="11522" width="12" style="898" customWidth="1"/>
    <col min="11523" max="11523" width="27.33203125" style="898" customWidth="1"/>
    <col min="11524" max="11524" width="10.44140625" style="898" customWidth="1"/>
    <col min="11525" max="11525" width="9.77734375" style="898" customWidth="1"/>
    <col min="11526" max="11526" width="24.6640625" style="898" customWidth="1"/>
    <col min="11527" max="11527" width="23.6640625" style="898" customWidth="1"/>
    <col min="11528" max="11528" width="11.77734375" style="898" bestFit="1" customWidth="1"/>
    <col min="11529" max="11529" width="15.6640625" style="898" bestFit="1" customWidth="1"/>
    <col min="11530" max="11530" width="11" style="898" bestFit="1" customWidth="1"/>
    <col min="11531" max="11531" width="15.109375" style="898" bestFit="1" customWidth="1"/>
    <col min="11532" max="11532" width="9.33203125" style="898"/>
    <col min="11533" max="11533" width="28.44140625" style="898" customWidth="1"/>
    <col min="11534" max="11776" width="9.33203125" style="898"/>
    <col min="11777" max="11777" width="4.33203125" style="898" customWidth="1"/>
    <col min="11778" max="11778" width="12" style="898" customWidth="1"/>
    <col min="11779" max="11779" width="27.33203125" style="898" customWidth="1"/>
    <col min="11780" max="11780" width="10.44140625" style="898" customWidth="1"/>
    <col min="11781" max="11781" width="9.77734375" style="898" customWidth="1"/>
    <col min="11782" max="11782" width="24.6640625" style="898" customWidth="1"/>
    <col min="11783" max="11783" width="23.6640625" style="898" customWidth="1"/>
    <col min="11784" max="11784" width="11.77734375" style="898" bestFit="1" customWidth="1"/>
    <col min="11785" max="11785" width="15.6640625" style="898" bestFit="1" customWidth="1"/>
    <col min="11786" max="11786" width="11" style="898" bestFit="1" customWidth="1"/>
    <col min="11787" max="11787" width="15.109375" style="898" bestFit="1" customWidth="1"/>
    <col min="11788" max="11788" width="9.33203125" style="898"/>
    <col min="11789" max="11789" width="28.44140625" style="898" customWidth="1"/>
    <col min="11790" max="12032" width="9.33203125" style="898"/>
    <col min="12033" max="12033" width="4.33203125" style="898" customWidth="1"/>
    <col min="12034" max="12034" width="12" style="898" customWidth="1"/>
    <col min="12035" max="12035" width="27.33203125" style="898" customWidth="1"/>
    <col min="12036" max="12036" width="10.44140625" style="898" customWidth="1"/>
    <col min="12037" max="12037" width="9.77734375" style="898" customWidth="1"/>
    <col min="12038" max="12038" width="24.6640625" style="898" customWidth="1"/>
    <col min="12039" max="12039" width="23.6640625" style="898" customWidth="1"/>
    <col min="12040" max="12040" width="11.77734375" style="898" bestFit="1" customWidth="1"/>
    <col min="12041" max="12041" width="15.6640625" style="898" bestFit="1" customWidth="1"/>
    <col min="12042" max="12042" width="11" style="898" bestFit="1" customWidth="1"/>
    <col min="12043" max="12043" width="15.109375" style="898" bestFit="1" customWidth="1"/>
    <col min="12044" max="12044" width="9.33203125" style="898"/>
    <col min="12045" max="12045" width="28.44140625" style="898" customWidth="1"/>
    <col min="12046" max="12288" width="9.33203125" style="898"/>
    <col min="12289" max="12289" width="4.33203125" style="898" customWidth="1"/>
    <col min="12290" max="12290" width="12" style="898" customWidth="1"/>
    <col min="12291" max="12291" width="27.33203125" style="898" customWidth="1"/>
    <col min="12292" max="12292" width="10.44140625" style="898" customWidth="1"/>
    <col min="12293" max="12293" width="9.77734375" style="898" customWidth="1"/>
    <col min="12294" max="12294" width="24.6640625" style="898" customWidth="1"/>
    <col min="12295" max="12295" width="23.6640625" style="898" customWidth="1"/>
    <col min="12296" max="12296" width="11.77734375" style="898" bestFit="1" customWidth="1"/>
    <col min="12297" max="12297" width="15.6640625" style="898" bestFit="1" customWidth="1"/>
    <col min="12298" max="12298" width="11" style="898" bestFit="1" customWidth="1"/>
    <col min="12299" max="12299" width="15.109375" style="898" bestFit="1" customWidth="1"/>
    <col min="12300" max="12300" width="9.33203125" style="898"/>
    <col min="12301" max="12301" width="28.44140625" style="898" customWidth="1"/>
    <col min="12302" max="12544" width="9.33203125" style="898"/>
    <col min="12545" max="12545" width="4.33203125" style="898" customWidth="1"/>
    <col min="12546" max="12546" width="12" style="898" customWidth="1"/>
    <col min="12547" max="12547" width="27.33203125" style="898" customWidth="1"/>
    <col min="12548" max="12548" width="10.44140625" style="898" customWidth="1"/>
    <col min="12549" max="12549" width="9.77734375" style="898" customWidth="1"/>
    <col min="12550" max="12550" width="24.6640625" style="898" customWidth="1"/>
    <col min="12551" max="12551" width="23.6640625" style="898" customWidth="1"/>
    <col min="12552" max="12552" width="11.77734375" style="898" bestFit="1" customWidth="1"/>
    <col min="12553" max="12553" width="15.6640625" style="898" bestFit="1" customWidth="1"/>
    <col min="12554" max="12554" width="11" style="898" bestFit="1" customWidth="1"/>
    <col min="12555" max="12555" width="15.109375" style="898" bestFit="1" customWidth="1"/>
    <col min="12556" max="12556" width="9.33203125" style="898"/>
    <col min="12557" max="12557" width="28.44140625" style="898" customWidth="1"/>
    <col min="12558" max="12800" width="9.33203125" style="898"/>
    <col min="12801" max="12801" width="4.33203125" style="898" customWidth="1"/>
    <col min="12802" max="12802" width="12" style="898" customWidth="1"/>
    <col min="12803" max="12803" width="27.33203125" style="898" customWidth="1"/>
    <col min="12804" max="12804" width="10.44140625" style="898" customWidth="1"/>
    <col min="12805" max="12805" width="9.77734375" style="898" customWidth="1"/>
    <col min="12806" max="12806" width="24.6640625" style="898" customWidth="1"/>
    <col min="12807" max="12807" width="23.6640625" style="898" customWidth="1"/>
    <col min="12808" max="12808" width="11.77734375" style="898" bestFit="1" customWidth="1"/>
    <col min="12809" max="12809" width="15.6640625" style="898" bestFit="1" customWidth="1"/>
    <col min="12810" max="12810" width="11" style="898" bestFit="1" customWidth="1"/>
    <col min="12811" max="12811" width="15.109375" style="898" bestFit="1" customWidth="1"/>
    <col min="12812" max="12812" width="9.33203125" style="898"/>
    <col min="12813" max="12813" width="28.44140625" style="898" customWidth="1"/>
    <col min="12814" max="13056" width="9.33203125" style="898"/>
    <col min="13057" max="13057" width="4.33203125" style="898" customWidth="1"/>
    <col min="13058" max="13058" width="12" style="898" customWidth="1"/>
    <col min="13059" max="13059" width="27.33203125" style="898" customWidth="1"/>
    <col min="13060" max="13060" width="10.44140625" style="898" customWidth="1"/>
    <col min="13061" max="13061" width="9.77734375" style="898" customWidth="1"/>
    <col min="13062" max="13062" width="24.6640625" style="898" customWidth="1"/>
    <col min="13063" max="13063" width="23.6640625" style="898" customWidth="1"/>
    <col min="13064" max="13064" width="11.77734375" style="898" bestFit="1" customWidth="1"/>
    <col min="13065" max="13065" width="15.6640625" style="898" bestFit="1" customWidth="1"/>
    <col min="13066" max="13066" width="11" style="898" bestFit="1" customWidth="1"/>
    <col min="13067" max="13067" width="15.109375" style="898" bestFit="1" customWidth="1"/>
    <col min="13068" max="13068" width="9.33203125" style="898"/>
    <col min="13069" max="13069" width="28.44140625" style="898" customWidth="1"/>
    <col min="13070" max="13312" width="9.33203125" style="898"/>
    <col min="13313" max="13313" width="4.33203125" style="898" customWidth="1"/>
    <col min="13314" max="13314" width="12" style="898" customWidth="1"/>
    <col min="13315" max="13315" width="27.33203125" style="898" customWidth="1"/>
    <col min="13316" max="13316" width="10.44140625" style="898" customWidth="1"/>
    <col min="13317" max="13317" width="9.77734375" style="898" customWidth="1"/>
    <col min="13318" max="13318" width="24.6640625" style="898" customWidth="1"/>
    <col min="13319" max="13319" width="23.6640625" style="898" customWidth="1"/>
    <col min="13320" max="13320" width="11.77734375" style="898" bestFit="1" customWidth="1"/>
    <col min="13321" max="13321" width="15.6640625" style="898" bestFit="1" customWidth="1"/>
    <col min="13322" max="13322" width="11" style="898" bestFit="1" customWidth="1"/>
    <col min="13323" max="13323" width="15.109375" style="898" bestFit="1" customWidth="1"/>
    <col min="13324" max="13324" width="9.33203125" style="898"/>
    <col min="13325" max="13325" width="28.44140625" style="898" customWidth="1"/>
    <col min="13326" max="13568" width="9.33203125" style="898"/>
    <col min="13569" max="13569" width="4.33203125" style="898" customWidth="1"/>
    <col min="13570" max="13570" width="12" style="898" customWidth="1"/>
    <col min="13571" max="13571" width="27.33203125" style="898" customWidth="1"/>
    <col min="13572" max="13572" width="10.44140625" style="898" customWidth="1"/>
    <col min="13573" max="13573" width="9.77734375" style="898" customWidth="1"/>
    <col min="13574" max="13574" width="24.6640625" style="898" customWidth="1"/>
    <col min="13575" max="13575" width="23.6640625" style="898" customWidth="1"/>
    <col min="13576" max="13576" width="11.77734375" style="898" bestFit="1" customWidth="1"/>
    <col min="13577" max="13577" width="15.6640625" style="898" bestFit="1" customWidth="1"/>
    <col min="13578" max="13578" width="11" style="898" bestFit="1" customWidth="1"/>
    <col min="13579" max="13579" width="15.109375" style="898" bestFit="1" customWidth="1"/>
    <col min="13580" max="13580" width="9.33203125" style="898"/>
    <col min="13581" max="13581" width="28.44140625" style="898" customWidth="1"/>
    <col min="13582" max="13824" width="9.33203125" style="898"/>
    <col min="13825" max="13825" width="4.33203125" style="898" customWidth="1"/>
    <col min="13826" max="13826" width="12" style="898" customWidth="1"/>
    <col min="13827" max="13827" width="27.33203125" style="898" customWidth="1"/>
    <col min="13828" max="13828" width="10.44140625" style="898" customWidth="1"/>
    <col min="13829" max="13829" width="9.77734375" style="898" customWidth="1"/>
    <col min="13830" max="13830" width="24.6640625" style="898" customWidth="1"/>
    <col min="13831" max="13831" width="23.6640625" style="898" customWidth="1"/>
    <col min="13832" max="13832" width="11.77734375" style="898" bestFit="1" customWidth="1"/>
    <col min="13833" max="13833" width="15.6640625" style="898" bestFit="1" customWidth="1"/>
    <col min="13834" max="13834" width="11" style="898" bestFit="1" customWidth="1"/>
    <col min="13835" max="13835" width="15.109375" style="898" bestFit="1" customWidth="1"/>
    <col min="13836" max="13836" width="9.33203125" style="898"/>
    <col min="13837" max="13837" width="28.44140625" style="898" customWidth="1"/>
    <col min="13838" max="14080" width="9.33203125" style="898"/>
    <col min="14081" max="14081" width="4.33203125" style="898" customWidth="1"/>
    <col min="14082" max="14082" width="12" style="898" customWidth="1"/>
    <col min="14083" max="14083" width="27.33203125" style="898" customWidth="1"/>
    <col min="14084" max="14084" width="10.44140625" style="898" customWidth="1"/>
    <col min="14085" max="14085" width="9.77734375" style="898" customWidth="1"/>
    <col min="14086" max="14086" width="24.6640625" style="898" customWidth="1"/>
    <col min="14087" max="14087" width="23.6640625" style="898" customWidth="1"/>
    <col min="14088" max="14088" width="11.77734375" style="898" bestFit="1" customWidth="1"/>
    <col min="14089" max="14089" width="15.6640625" style="898" bestFit="1" customWidth="1"/>
    <col min="14090" max="14090" width="11" style="898" bestFit="1" customWidth="1"/>
    <col min="14091" max="14091" width="15.109375" style="898" bestFit="1" customWidth="1"/>
    <col min="14092" max="14092" width="9.33203125" style="898"/>
    <col min="14093" max="14093" width="28.44140625" style="898" customWidth="1"/>
    <col min="14094" max="14336" width="9.33203125" style="898"/>
    <col min="14337" max="14337" width="4.33203125" style="898" customWidth="1"/>
    <col min="14338" max="14338" width="12" style="898" customWidth="1"/>
    <col min="14339" max="14339" width="27.33203125" style="898" customWidth="1"/>
    <col min="14340" max="14340" width="10.44140625" style="898" customWidth="1"/>
    <col min="14341" max="14341" width="9.77734375" style="898" customWidth="1"/>
    <col min="14342" max="14342" width="24.6640625" style="898" customWidth="1"/>
    <col min="14343" max="14343" width="23.6640625" style="898" customWidth="1"/>
    <col min="14344" max="14344" width="11.77734375" style="898" bestFit="1" customWidth="1"/>
    <col min="14345" max="14345" width="15.6640625" style="898" bestFit="1" customWidth="1"/>
    <col min="14346" max="14346" width="11" style="898" bestFit="1" customWidth="1"/>
    <col min="14347" max="14347" width="15.109375" style="898" bestFit="1" customWidth="1"/>
    <col min="14348" max="14348" width="9.33203125" style="898"/>
    <col min="14349" max="14349" width="28.44140625" style="898" customWidth="1"/>
    <col min="14350" max="14592" width="9.33203125" style="898"/>
    <col min="14593" max="14593" width="4.33203125" style="898" customWidth="1"/>
    <col min="14594" max="14594" width="12" style="898" customWidth="1"/>
    <col min="14595" max="14595" width="27.33203125" style="898" customWidth="1"/>
    <col min="14596" max="14596" width="10.44140625" style="898" customWidth="1"/>
    <col min="14597" max="14597" width="9.77734375" style="898" customWidth="1"/>
    <col min="14598" max="14598" width="24.6640625" style="898" customWidth="1"/>
    <col min="14599" max="14599" width="23.6640625" style="898" customWidth="1"/>
    <col min="14600" max="14600" width="11.77734375" style="898" bestFit="1" customWidth="1"/>
    <col min="14601" max="14601" width="15.6640625" style="898" bestFit="1" customWidth="1"/>
    <col min="14602" max="14602" width="11" style="898" bestFit="1" customWidth="1"/>
    <col min="14603" max="14603" width="15.109375" style="898" bestFit="1" customWidth="1"/>
    <col min="14604" max="14604" width="9.33203125" style="898"/>
    <col min="14605" max="14605" width="28.44140625" style="898" customWidth="1"/>
    <col min="14606" max="14848" width="9.33203125" style="898"/>
    <col min="14849" max="14849" width="4.33203125" style="898" customWidth="1"/>
    <col min="14850" max="14850" width="12" style="898" customWidth="1"/>
    <col min="14851" max="14851" width="27.33203125" style="898" customWidth="1"/>
    <col min="14852" max="14852" width="10.44140625" style="898" customWidth="1"/>
    <col min="14853" max="14853" width="9.77734375" style="898" customWidth="1"/>
    <col min="14854" max="14854" width="24.6640625" style="898" customWidth="1"/>
    <col min="14855" max="14855" width="23.6640625" style="898" customWidth="1"/>
    <col min="14856" max="14856" width="11.77734375" style="898" bestFit="1" customWidth="1"/>
    <col min="14857" max="14857" width="15.6640625" style="898" bestFit="1" customWidth="1"/>
    <col min="14858" max="14858" width="11" style="898" bestFit="1" customWidth="1"/>
    <col min="14859" max="14859" width="15.109375" style="898" bestFit="1" customWidth="1"/>
    <col min="14860" max="14860" width="9.33203125" style="898"/>
    <col min="14861" max="14861" width="28.44140625" style="898" customWidth="1"/>
    <col min="14862" max="15104" width="9.33203125" style="898"/>
    <col min="15105" max="15105" width="4.33203125" style="898" customWidth="1"/>
    <col min="15106" max="15106" width="12" style="898" customWidth="1"/>
    <col min="15107" max="15107" width="27.33203125" style="898" customWidth="1"/>
    <col min="15108" max="15108" width="10.44140625" style="898" customWidth="1"/>
    <col min="15109" max="15109" width="9.77734375" style="898" customWidth="1"/>
    <col min="15110" max="15110" width="24.6640625" style="898" customWidth="1"/>
    <col min="15111" max="15111" width="23.6640625" style="898" customWidth="1"/>
    <col min="15112" max="15112" width="11.77734375" style="898" bestFit="1" customWidth="1"/>
    <col min="15113" max="15113" width="15.6640625" style="898" bestFit="1" customWidth="1"/>
    <col min="15114" max="15114" width="11" style="898" bestFit="1" customWidth="1"/>
    <col min="15115" max="15115" width="15.109375" style="898" bestFit="1" customWidth="1"/>
    <col min="15116" max="15116" width="9.33203125" style="898"/>
    <col min="15117" max="15117" width="28.44140625" style="898" customWidth="1"/>
    <col min="15118" max="15360" width="9.33203125" style="898"/>
    <col min="15361" max="15361" width="4.33203125" style="898" customWidth="1"/>
    <col min="15362" max="15362" width="12" style="898" customWidth="1"/>
    <col min="15363" max="15363" width="27.33203125" style="898" customWidth="1"/>
    <col min="15364" max="15364" width="10.44140625" style="898" customWidth="1"/>
    <col min="15365" max="15365" width="9.77734375" style="898" customWidth="1"/>
    <col min="15366" max="15366" width="24.6640625" style="898" customWidth="1"/>
    <col min="15367" max="15367" width="23.6640625" style="898" customWidth="1"/>
    <col min="15368" max="15368" width="11.77734375" style="898" bestFit="1" customWidth="1"/>
    <col min="15369" max="15369" width="15.6640625" style="898" bestFit="1" customWidth="1"/>
    <col min="15370" max="15370" width="11" style="898" bestFit="1" customWidth="1"/>
    <col min="15371" max="15371" width="15.109375" style="898" bestFit="1" customWidth="1"/>
    <col min="15372" max="15372" width="9.33203125" style="898"/>
    <col min="15373" max="15373" width="28.44140625" style="898" customWidth="1"/>
    <col min="15374" max="15616" width="9.33203125" style="898"/>
    <col min="15617" max="15617" width="4.33203125" style="898" customWidth="1"/>
    <col min="15618" max="15618" width="12" style="898" customWidth="1"/>
    <col min="15619" max="15619" width="27.33203125" style="898" customWidth="1"/>
    <col min="15620" max="15620" width="10.44140625" style="898" customWidth="1"/>
    <col min="15621" max="15621" width="9.77734375" style="898" customWidth="1"/>
    <col min="15622" max="15622" width="24.6640625" style="898" customWidth="1"/>
    <col min="15623" max="15623" width="23.6640625" style="898" customWidth="1"/>
    <col min="15624" max="15624" width="11.77734375" style="898" bestFit="1" customWidth="1"/>
    <col min="15625" max="15625" width="15.6640625" style="898" bestFit="1" customWidth="1"/>
    <col min="15626" max="15626" width="11" style="898" bestFit="1" customWidth="1"/>
    <col min="15627" max="15627" width="15.109375" style="898" bestFit="1" customWidth="1"/>
    <col min="15628" max="15628" width="9.33203125" style="898"/>
    <col min="15629" max="15629" width="28.44140625" style="898" customWidth="1"/>
    <col min="15630" max="15872" width="9.33203125" style="898"/>
    <col min="15873" max="15873" width="4.33203125" style="898" customWidth="1"/>
    <col min="15874" max="15874" width="12" style="898" customWidth="1"/>
    <col min="15875" max="15875" width="27.33203125" style="898" customWidth="1"/>
    <col min="15876" max="15876" width="10.44140625" style="898" customWidth="1"/>
    <col min="15877" max="15877" width="9.77734375" style="898" customWidth="1"/>
    <col min="15878" max="15878" width="24.6640625" style="898" customWidth="1"/>
    <col min="15879" max="15879" width="23.6640625" style="898" customWidth="1"/>
    <col min="15880" max="15880" width="11.77734375" style="898" bestFit="1" customWidth="1"/>
    <col min="15881" max="15881" width="15.6640625" style="898" bestFit="1" customWidth="1"/>
    <col min="15882" max="15882" width="11" style="898" bestFit="1" customWidth="1"/>
    <col min="15883" max="15883" width="15.109375" style="898" bestFit="1" customWidth="1"/>
    <col min="15884" max="15884" width="9.33203125" style="898"/>
    <col min="15885" max="15885" width="28.44140625" style="898" customWidth="1"/>
    <col min="15886" max="16128" width="9.33203125" style="898"/>
    <col min="16129" max="16129" width="4.33203125" style="898" customWidth="1"/>
    <col min="16130" max="16130" width="12" style="898" customWidth="1"/>
    <col min="16131" max="16131" width="27.33203125" style="898" customWidth="1"/>
    <col min="16132" max="16132" width="10.44140625" style="898" customWidth="1"/>
    <col min="16133" max="16133" width="9.77734375" style="898" customWidth="1"/>
    <col min="16134" max="16134" width="24.6640625" style="898" customWidth="1"/>
    <col min="16135" max="16135" width="23.6640625" style="898" customWidth="1"/>
    <col min="16136" max="16136" width="11.77734375" style="898" bestFit="1" customWidth="1"/>
    <col min="16137" max="16137" width="15.6640625" style="898" bestFit="1" customWidth="1"/>
    <col min="16138" max="16138" width="11" style="898" bestFit="1" customWidth="1"/>
    <col min="16139" max="16139" width="15.109375" style="898" bestFit="1" customWidth="1"/>
    <col min="16140" max="16140" width="9.33203125" style="898"/>
    <col min="16141" max="16141" width="28.44140625" style="898" customWidth="1"/>
    <col min="16142" max="16384" width="9.33203125" style="898"/>
  </cols>
  <sheetData>
    <row r="1" spans="1:14" ht="13.2" x14ac:dyDescent="0.25">
      <c r="A1" s="903"/>
      <c r="B1" s="899"/>
      <c r="C1" s="900"/>
      <c r="D1" s="901"/>
      <c r="E1" s="901"/>
      <c r="F1" s="901"/>
      <c r="G1" s="901"/>
      <c r="H1" s="901"/>
      <c r="I1" s="901"/>
      <c r="J1" s="901"/>
      <c r="K1" s="902"/>
    </row>
    <row r="2" spans="1:14" ht="15.6" x14ac:dyDescent="0.3">
      <c r="A2" s="1491" t="s">
        <v>534</v>
      </c>
      <c r="B2" s="1491"/>
      <c r="C2" s="1491"/>
      <c r="D2" s="1491"/>
      <c r="E2" s="1491"/>
      <c r="F2" s="1491"/>
      <c r="G2" s="1491"/>
      <c r="H2" s="1491"/>
      <c r="I2" s="1491"/>
      <c r="J2" s="1491"/>
      <c r="K2" s="1491"/>
      <c r="M2" s="244" t="s">
        <v>586</v>
      </c>
    </row>
    <row r="3" spans="1:14" ht="13.2" x14ac:dyDescent="0.25">
      <c r="A3" s="901"/>
      <c r="B3" s="901"/>
      <c r="C3" s="900"/>
      <c r="D3" s="901"/>
      <c r="E3" s="901"/>
      <c r="F3" s="901"/>
      <c r="G3" s="901"/>
      <c r="H3" s="901"/>
      <c r="I3" s="901"/>
      <c r="J3" s="901"/>
      <c r="K3" s="901"/>
      <c r="M3" s="244" t="s">
        <v>587</v>
      </c>
      <c r="N3" s="904">
        <f>K54</f>
        <v>52002100</v>
      </c>
    </row>
    <row r="4" spans="1:14" ht="13.2" x14ac:dyDescent="0.25">
      <c r="A4" s="901" t="s">
        <v>802</v>
      </c>
      <c r="B4" s="901"/>
      <c r="C4" s="901" t="s">
        <v>853</v>
      </c>
      <c r="D4" s="901"/>
      <c r="E4" s="901"/>
      <c r="F4" s="901"/>
      <c r="G4" s="901"/>
      <c r="H4" s="901"/>
      <c r="I4" s="902" t="s">
        <v>803</v>
      </c>
      <c r="J4" s="905" t="s">
        <v>857</v>
      </c>
      <c r="K4" s="901"/>
    </row>
    <row r="5" spans="1:14" ht="13.2" x14ac:dyDescent="0.25">
      <c r="A5" s="901" t="s">
        <v>43</v>
      </c>
      <c r="B5" s="901"/>
      <c r="C5" s="901" t="s">
        <v>777</v>
      </c>
      <c r="D5" s="901"/>
      <c r="E5" s="901"/>
      <c r="F5" s="901"/>
      <c r="G5" s="901"/>
      <c r="H5" s="901"/>
      <c r="I5" s="902" t="s">
        <v>804</v>
      </c>
      <c r="J5" s="906" t="s">
        <v>168</v>
      </c>
      <c r="K5" s="901"/>
    </row>
    <row r="6" spans="1:14" ht="24" customHeight="1" x14ac:dyDescent="0.25">
      <c r="A6" s="901" t="s">
        <v>538</v>
      </c>
      <c r="B6" s="901"/>
      <c r="C6" s="901" t="s">
        <v>854</v>
      </c>
      <c r="D6" s="901"/>
      <c r="E6" s="901"/>
      <c r="F6" s="901"/>
      <c r="G6" s="901"/>
      <c r="H6" s="901"/>
      <c r="I6" s="902" t="s">
        <v>805</v>
      </c>
      <c r="J6" s="906" t="s">
        <v>858</v>
      </c>
      <c r="K6" s="901"/>
    </row>
    <row r="7" spans="1:14" ht="24" customHeight="1" x14ac:dyDescent="0.25">
      <c r="A7" s="901" t="s">
        <v>536</v>
      </c>
      <c r="B7" s="901"/>
      <c r="C7" s="901" t="s">
        <v>855</v>
      </c>
      <c r="D7" s="901"/>
      <c r="E7" s="901"/>
      <c r="F7" s="901"/>
      <c r="G7" s="901"/>
      <c r="H7" s="901"/>
      <c r="I7" s="902" t="s">
        <v>806</v>
      </c>
      <c r="J7" s="906" t="s">
        <v>859</v>
      </c>
      <c r="K7" s="901"/>
    </row>
    <row r="8" spans="1:14" ht="13.2" x14ac:dyDescent="0.25">
      <c r="A8" s="901" t="s">
        <v>535</v>
      </c>
      <c r="B8" s="901"/>
      <c r="C8" s="901" t="s">
        <v>856</v>
      </c>
      <c r="D8" s="901"/>
      <c r="E8" s="901"/>
      <c r="F8" s="901"/>
      <c r="G8" s="901"/>
      <c r="H8" s="901"/>
      <c r="I8" s="902"/>
      <c r="J8" s="906"/>
      <c r="K8" s="901"/>
    </row>
    <row r="9" spans="1:14" thickBot="1" x14ac:dyDescent="0.3">
      <c r="A9" s="901"/>
      <c r="B9" s="901"/>
      <c r="C9" s="900"/>
      <c r="D9" s="901"/>
      <c r="E9" s="901"/>
      <c r="F9" s="901"/>
      <c r="G9" s="901"/>
      <c r="H9" s="901"/>
      <c r="I9" s="902"/>
      <c r="J9" s="906"/>
      <c r="K9" s="901"/>
    </row>
    <row r="10" spans="1:14" ht="13.2" x14ac:dyDescent="0.25">
      <c r="A10" s="1492" t="s">
        <v>540</v>
      </c>
      <c r="B10" s="1493"/>
      <c r="C10" s="1493"/>
      <c r="D10" s="1497" t="s">
        <v>541</v>
      </c>
      <c r="E10" s="1498"/>
      <c r="F10" s="1499"/>
      <c r="G10" s="1493" t="s">
        <v>542</v>
      </c>
      <c r="H10" s="1503" t="s">
        <v>807</v>
      </c>
      <c r="I10" s="1503" t="s">
        <v>808</v>
      </c>
      <c r="J10" s="907" t="s">
        <v>809</v>
      </c>
      <c r="K10" s="908" t="s">
        <v>809</v>
      </c>
    </row>
    <row r="11" spans="1:14" ht="13.2" x14ac:dyDescent="0.25">
      <c r="A11" s="1494"/>
      <c r="B11" s="1486"/>
      <c r="C11" s="1486"/>
      <c r="D11" s="1500"/>
      <c r="E11" s="1501"/>
      <c r="F11" s="1502"/>
      <c r="G11" s="1486"/>
      <c r="H11" s="1504"/>
      <c r="I11" s="1504"/>
      <c r="J11" s="909" t="s">
        <v>810</v>
      </c>
      <c r="K11" s="910" t="s">
        <v>810</v>
      </c>
    </row>
    <row r="12" spans="1:14" ht="26.4" x14ac:dyDescent="0.25">
      <c r="A12" s="1494"/>
      <c r="B12" s="1486"/>
      <c r="C12" s="1486"/>
      <c r="D12" s="1505" t="s">
        <v>600</v>
      </c>
      <c r="E12" s="1505" t="s">
        <v>601</v>
      </c>
      <c r="F12" s="1508" t="s">
        <v>168</v>
      </c>
      <c r="G12" s="1486"/>
      <c r="H12" s="1484" t="s">
        <v>810</v>
      </c>
      <c r="I12" s="909" t="s">
        <v>542</v>
      </c>
      <c r="J12" s="909" t="s">
        <v>811</v>
      </c>
      <c r="K12" s="910" t="s">
        <v>811</v>
      </c>
    </row>
    <row r="13" spans="1:14" ht="39.6" x14ac:dyDescent="0.25">
      <c r="A13" s="1494"/>
      <c r="B13" s="1486"/>
      <c r="C13" s="1486"/>
      <c r="D13" s="1506"/>
      <c r="E13" s="1506"/>
      <c r="F13" s="1486"/>
      <c r="G13" s="1486"/>
      <c r="H13" s="1484"/>
      <c r="I13" s="1486" t="s">
        <v>812</v>
      </c>
      <c r="J13" s="909" t="s">
        <v>813</v>
      </c>
      <c r="K13" s="910" t="s">
        <v>814</v>
      </c>
    </row>
    <row r="14" spans="1:14" thickBot="1" x14ac:dyDescent="0.3">
      <c r="A14" s="1495"/>
      <c r="B14" s="1496"/>
      <c r="C14" s="1496"/>
      <c r="D14" s="1507"/>
      <c r="E14" s="1507"/>
      <c r="F14" s="1487"/>
      <c r="G14" s="1496"/>
      <c r="H14" s="1485"/>
      <c r="I14" s="1487"/>
      <c r="J14" s="911" t="s">
        <v>812</v>
      </c>
      <c r="K14" s="912" t="s">
        <v>812</v>
      </c>
    </row>
    <row r="15" spans="1:14" ht="13.2" x14ac:dyDescent="0.25">
      <c r="A15" s="913" t="s">
        <v>545</v>
      </c>
      <c r="B15" s="914"/>
      <c r="C15" s="914"/>
      <c r="D15" s="915"/>
      <c r="E15" s="915"/>
      <c r="F15" s="915"/>
      <c r="G15" s="915"/>
      <c r="H15" s="915"/>
      <c r="I15" s="915"/>
      <c r="J15" s="915"/>
      <c r="K15" s="916"/>
    </row>
    <row r="16" spans="1:14" ht="13.2" x14ac:dyDescent="0.25">
      <c r="A16" s="474" t="s">
        <v>815</v>
      </c>
      <c r="B16" s="914"/>
      <c r="C16" s="914"/>
      <c r="D16" s="915"/>
      <c r="E16" s="915"/>
      <c r="F16" s="915"/>
      <c r="G16" s="915"/>
      <c r="H16" s="915"/>
      <c r="I16" s="915"/>
      <c r="J16" s="917">
        <f>SUM(J17:J20)</f>
        <v>0</v>
      </c>
      <c r="K16" s="918">
        <f>SUM(K17:K20)</f>
        <v>38202200</v>
      </c>
    </row>
    <row r="17" spans="1:11" ht="13.2" x14ac:dyDescent="0.25">
      <c r="A17" s="919">
        <v>1</v>
      </c>
      <c r="B17" s="920" t="s">
        <v>816</v>
      </c>
      <c r="C17" s="921"/>
      <c r="D17" s="922">
        <f>'[14]TOS-DRAINASE'!AD365</f>
        <v>19</v>
      </c>
      <c r="E17" s="922">
        <f>'[14]TOS-DRAINASE'!Z365</f>
        <v>0</v>
      </c>
      <c r="F17" s="922">
        <f>D17-E17</f>
        <v>19</v>
      </c>
      <c r="G17" s="923" t="s">
        <v>548</v>
      </c>
      <c r="H17" s="923" t="s">
        <v>817</v>
      </c>
      <c r="I17" s="924">
        <f>[14]H.SATUAN!L16</f>
        <v>156900</v>
      </c>
      <c r="J17" s="924">
        <f>I17*E17</f>
        <v>0</v>
      </c>
      <c r="K17" s="925">
        <f>F17*I17</f>
        <v>2981100</v>
      </c>
    </row>
    <row r="18" spans="1:11" ht="13.2" x14ac:dyDescent="0.25">
      <c r="A18" s="919">
        <f>+A17+1</f>
        <v>2</v>
      </c>
      <c r="B18" s="920" t="s">
        <v>282</v>
      </c>
      <c r="C18" s="921"/>
      <c r="D18" s="922">
        <f>'[14]TOS-DRAINASE'!AD366</f>
        <v>122</v>
      </c>
      <c r="E18" s="922">
        <f>'[14]TOS-DRAINASE'!Z366</f>
        <v>0</v>
      </c>
      <c r="F18" s="922">
        <f>D18-E18</f>
        <v>122</v>
      </c>
      <c r="G18" s="923" t="s">
        <v>548</v>
      </c>
      <c r="H18" s="923" t="s">
        <v>817</v>
      </c>
      <c r="I18" s="924">
        <f>[14]H.SATUAN!L20</f>
        <v>287200</v>
      </c>
      <c r="J18" s="924">
        <f>I18*E18</f>
        <v>0</v>
      </c>
      <c r="K18" s="925">
        <f>F18*I18</f>
        <v>35038400</v>
      </c>
    </row>
    <row r="19" spans="1:11" ht="13.2" x14ac:dyDescent="0.25">
      <c r="A19" s="919">
        <v>3</v>
      </c>
      <c r="B19" s="920" t="s">
        <v>818</v>
      </c>
      <c r="C19" s="921"/>
      <c r="D19" s="922">
        <f>'[14]TOS-DRAINASE'!AD367</f>
        <v>3</v>
      </c>
      <c r="E19" s="922">
        <f>'[14]TOS-DRAINASE'!Z367</f>
        <v>0</v>
      </c>
      <c r="F19" s="922">
        <f>D19-E19</f>
        <v>3</v>
      </c>
      <c r="G19" s="923" t="s">
        <v>551</v>
      </c>
      <c r="H19" s="923" t="s">
        <v>819</v>
      </c>
      <c r="I19" s="924">
        <f>[14]H.SATUAN!L22</f>
        <v>60900</v>
      </c>
      <c r="J19" s="924">
        <f>I19*E19</f>
        <v>0</v>
      </c>
      <c r="K19" s="925">
        <f>F19*I19</f>
        <v>182700</v>
      </c>
    </row>
    <row r="20" spans="1:11" ht="13.2" x14ac:dyDescent="0.25">
      <c r="A20" s="919"/>
      <c r="B20" s="926"/>
      <c r="C20" s="927"/>
      <c r="D20" s="928"/>
      <c r="E20" s="928"/>
      <c r="F20" s="928"/>
      <c r="G20" s="929"/>
      <c r="H20" s="929"/>
      <c r="I20" s="930"/>
      <c r="J20" s="930"/>
      <c r="K20" s="931"/>
    </row>
    <row r="21" spans="1:11" ht="13.2" x14ac:dyDescent="0.25">
      <c r="A21" s="919"/>
      <c r="B21" s="920"/>
      <c r="C21" s="921"/>
      <c r="D21" s="922"/>
      <c r="E21" s="922"/>
      <c r="F21" s="932"/>
      <c r="G21" s="929"/>
      <c r="H21" s="929"/>
      <c r="I21" s="933"/>
      <c r="J21" s="924"/>
      <c r="K21" s="934"/>
    </row>
    <row r="22" spans="1:11" ht="13.2" x14ac:dyDescent="0.25">
      <c r="A22" s="474" t="s">
        <v>820</v>
      </c>
      <c r="B22" s="920"/>
      <c r="C22" s="921"/>
      <c r="D22" s="922"/>
      <c r="E22" s="922"/>
      <c r="F22" s="932"/>
      <c r="G22" s="935"/>
      <c r="H22" s="936"/>
      <c r="I22" s="933"/>
      <c r="J22" s="937">
        <f>SUM(J23:J24)</f>
        <v>0</v>
      </c>
      <c r="K22" s="938">
        <f>SUM(K23:K24)</f>
        <v>17000</v>
      </c>
    </row>
    <row r="23" spans="1:11" ht="13.2" x14ac:dyDescent="0.25">
      <c r="A23" s="939">
        <v>1</v>
      </c>
      <c r="B23" s="940" t="s">
        <v>821</v>
      </c>
      <c r="C23" s="941"/>
      <c r="D23" s="942">
        <v>1</v>
      </c>
      <c r="E23" s="942">
        <v>0</v>
      </c>
      <c r="F23" s="943">
        <v>1</v>
      </c>
      <c r="G23" s="944" t="s">
        <v>685</v>
      </c>
      <c r="H23" s="945" t="s">
        <v>817</v>
      </c>
      <c r="I23" s="571">
        <f>[14]H.SATUAN!L36</f>
        <v>17000</v>
      </c>
      <c r="J23" s="946">
        <f>E23*I23</f>
        <v>0</v>
      </c>
      <c r="K23" s="947">
        <f>F23*I23</f>
        <v>17000</v>
      </c>
    </row>
    <row r="24" spans="1:11" ht="13.2" x14ac:dyDescent="0.25">
      <c r="A24" s="939">
        <v>2</v>
      </c>
      <c r="B24" s="948" t="s">
        <v>822</v>
      </c>
      <c r="C24" s="949"/>
      <c r="D24" s="950">
        <v>1</v>
      </c>
      <c r="E24" s="942">
        <v>0</v>
      </c>
      <c r="F24" s="943">
        <v>1</v>
      </c>
      <c r="G24" s="944" t="s">
        <v>685</v>
      </c>
      <c r="H24" s="945" t="s">
        <v>817</v>
      </c>
      <c r="I24" s="571">
        <f>[14]H.SATUAN!L38</f>
        <v>0</v>
      </c>
      <c r="J24" s="946">
        <f>E24*I24</f>
        <v>0</v>
      </c>
      <c r="K24" s="947">
        <f>F24*I24</f>
        <v>0</v>
      </c>
    </row>
    <row r="25" spans="1:11" s="317" customFormat="1" x14ac:dyDescent="0.25">
      <c r="A25" s="1488" t="s">
        <v>608</v>
      </c>
      <c r="B25" s="1489"/>
      <c r="C25" s="1489"/>
      <c r="D25" s="1489"/>
      <c r="E25" s="1489"/>
      <c r="F25" s="1489"/>
      <c r="G25" s="1489"/>
      <c r="H25" s="1489"/>
      <c r="I25" s="1489"/>
      <c r="J25" s="951">
        <f>J16+J22</f>
        <v>0</v>
      </c>
      <c r="K25" s="952">
        <f>K16+K22</f>
        <v>38219200</v>
      </c>
    </row>
    <row r="26" spans="1:11" s="317" customFormat="1" x14ac:dyDescent="0.25">
      <c r="A26" s="953" t="s">
        <v>560</v>
      </c>
      <c r="B26" s="954"/>
      <c r="C26" s="955"/>
      <c r="D26" s="956"/>
      <c r="E26" s="956"/>
      <c r="F26" s="956"/>
      <c r="G26" s="956"/>
      <c r="H26" s="956"/>
      <c r="I26" s="956"/>
      <c r="J26" s="956"/>
      <c r="K26" s="957"/>
    </row>
    <row r="27" spans="1:11" s="317" customFormat="1" x14ac:dyDescent="0.25">
      <c r="A27" s="474" t="s">
        <v>823</v>
      </c>
      <c r="B27" s="914"/>
      <c r="C27" s="958"/>
      <c r="D27" s="915"/>
      <c r="E27" s="915"/>
      <c r="F27" s="915"/>
      <c r="G27" s="915"/>
      <c r="H27" s="915"/>
      <c r="I27" s="915"/>
      <c r="J27" s="917">
        <f>SUM(J28:J36)</f>
        <v>0</v>
      </c>
      <c r="K27" s="918">
        <f>SUM(K28:K36)</f>
        <v>5098900</v>
      </c>
    </row>
    <row r="28" spans="1:11" s="317" customFormat="1" x14ac:dyDescent="0.25">
      <c r="A28" s="959">
        <v>3</v>
      </c>
      <c r="B28" s="960" t="s">
        <v>565</v>
      </c>
      <c r="C28" s="961"/>
      <c r="D28" s="928">
        <v>0</v>
      </c>
      <c r="E28" s="928">
        <v>0</v>
      </c>
      <c r="F28" s="928">
        <f t="shared" ref="F28:F36" si="0">D28-E28</f>
        <v>0</v>
      </c>
      <c r="G28" s="962" t="s">
        <v>824</v>
      </c>
      <c r="H28" s="929" t="s">
        <v>825</v>
      </c>
      <c r="I28" s="930">
        <f>[14]H.SATUAN!L42</f>
        <v>103400</v>
      </c>
      <c r="J28" s="930">
        <f t="shared" ref="J28:J40" si="1">I28*E28</f>
        <v>0</v>
      </c>
      <c r="K28" s="931">
        <f t="shared" ref="K28:K40" si="2">F28*I28</f>
        <v>0</v>
      </c>
    </row>
    <row r="29" spans="1:11" ht="13.2" x14ac:dyDescent="0.25">
      <c r="A29" s="959">
        <v>4</v>
      </c>
      <c r="B29" s="960" t="s">
        <v>826</v>
      </c>
      <c r="C29" s="961"/>
      <c r="D29" s="928">
        <v>1</v>
      </c>
      <c r="E29" s="928">
        <v>0</v>
      </c>
      <c r="F29" s="928">
        <f t="shared" si="0"/>
        <v>1</v>
      </c>
      <c r="G29" s="929" t="s">
        <v>827</v>
      </c>
      <c r="H29" s="929" t="s">
        <v>825</v>
      </c>
      <c r="I29" s="930">
        <f>[14]H.SATUAN!L43</f>
        <v>69000</v>
      </c>
      <c r="J29" s="930">
        <f t="shared" si="1"/>
        <v>0</v>
      </c>
      <c r="K29" s="931">
        <f t="shared" si="2"/>
        <v>69000</v>
      </c>
    </row>
    <row r="30" spans="1:11" ht="13.2" x14ac:dyDescent="0.25">
      <c r="A30" s="959">
        <v>5</v>
      </c>
      <c r="B30" s="926" t="s">
        <v>828</v>
      </c>
      <c r="C30" s="927"/>
      <c r="D30" s="928">
        <v>1</v>
      </c>
      <c r="E30" s="928">
        <v>0</v>
      </c>
      <c r="F30" s="928">
        <f t="shared" si="0"/>
        <v>1</v>
      </c>
      <c r="G30" s="929" t="s">
        <v>827</v>
      </c>
      <c r="H30" s="929" t="s">
        <v>825</v>
      </c>
      <c r="I30" s="930">
        <f>[14]H.SATUAN!L44</f>
        <v>91900</v>
      </c>
      <c r="J30" s="930">
        <f t="shared" si="1"/>
        <v>0</v>
      </c>
      <c r="K30" s="931">
        <f t="shared" si="2"/>
        <v>91900</v>
      </c>
    </row>
    <row r="31" spans="1:11" ht="13.2" x14ac:dyDescent="0.25">
      <c r="A31" s="959">
        <v>6</v>
      </c>
      <c r="B31" s="926" t="s">
        <v>829</v>
      </c>
      <c r="C31" s="927"/>
      <c r="D31" s="928">
        <v>2</v>
      </c>
      <c r="E31" s="928">
        <v>0</v>
      </c>
      <c r="F31" s="928">
        <f t="shared" si="0"/>
        <v>2</v>
      </c>
      <c r="G31" s="929" t="s">
        <v>827</v>
      </c>
      <c r="H31" s="929" t="s">
        <v>825</v>
      </c>
      <c r="I31" s="930">
        <f>[14]H.SATUAN!L45</f>
        <v>69000</v>
      </c>
      <c r="J31" s="930">
        <f t="shared" si="1"/>
        <v>0</v>
      </c>
      <c r="K31" s="931">
        <f t="shared" si="2"/>
        <v>138000</v>
      </c>
    </row>
    <row r="32" spans="1:11" ht="13.2" x14ac:dyDescent="0.25">
      <c r="A32" s="959">
        <v>7</v>
      </c>
      <c r="B32" s="926" t="s">
        <v>830</v>
      </c>
      <c r="C32" s="927"/>
      <c r="D32" s="928">
        <v>2</v>
      </c>
      <c r="E32" s="928">
        <v>0</v>
      </c>
      <c r="F32" s="928">
        <f t="shared" si="0"/>
        <v>2</v>
      </c>
      <c r="G32" s="929" t="s">
        <v>827</v>
      </c>
      <c r="H32" s="929" t="s">
        <v>825</v>
      </c>
      <c r="I32" s="930">
        <f>[14]H.SATUAN!L46</f>
        <v>97700</v>
      </c>
      <c r="J32" s="930">
        <f t="shared" si="1"/>
        <v>0</v>
      </c>
      <c r="K32" s="931">
        <f t="shared" si="2"/>
        <v>195400</v>
      </c>
    </row>
    <row r="33" spans="1:13" ht="13.2" x14ac:dyDescent="0.25">
      <c r="A33" s="959">
        <v>8</v>
      </c>
      <c r="B33" s="960" t="s">
        <v>831</v>
      </c>
      <c r="C33" s="927"/>
      <c r="D33" s="928">
        <v>1</v>
      </c>
      <c r="E33" s="928">
        <v>0</v>
      </c>
      <c r="F33" s="928">
        <f t="shared" si="0"/>
        <v>1</v>
      </c>
      <c r="G33" s="929" t="s">
        <v>827</v>
      </c>
      <c r="H33" s="929" t="s">
        <v>825</v>
      </c>
      <c r="I33" s="930">
        <f>[14]H.SATUAN!L47</f>
        <v>46000</v>
      </c>
      <c r="J33" s="930">
        <f t="shared" si="1"/>
        <v>0</v>
      </c>
      <c r="K33" s="931">
        <f t="shared" si="2"/>
        <v>46000</v>
      </c>
    </row>
    <row r="34" spans="1:13" ht="13.2" x14ac:dyDescent="0.25">
      <c r="A34" s="963">
        <v>10</v>
      </c>
      <c r="B34" s="926" t="s">
        <v>832</v>
      </c>
      <c r="C34" s="927"/>
      <c r="D34" s="928">
        <v>2</v>
      </c>
      <c r="E34" s="928">
        <v>0</v>
      </c>
      <c r="F34" s="928">
        <f t="shared" si="0"/>
        <v>2</v>
      </c>
      <c r="G34" s="929" t="s">
        <v>827</v>
      </c>
      <c r="H34" s="929" t="s">
        <v>825</v>
      </c>
      <c r="I34" s="930">
        <f>[14]H.SATUAN!L49</f>
        <v>17300</v>
      </c>
      <c r="J34" s="930">
        <f t="shared" si="1"/>
        <v>0</v>
      </c>
      <c r="K34" s="931">
        <f t="shared" si="2"/>
        <v>34600</v>
      </c>
    </row>
    <row r="35" spans="1:13" ht="13.2" x14ac:dyDescent="0.25">
      <c r="A35" s="963">
        <v>12</v>
      </c>
      <c r="B35" s="926" t="s">
        <v>682</v>
      </c>
      <c r="C35" s="927"/>
      <c r="D35" s="928">
        <v>10</v>
      </c>
      <c r="E35" s="928">
        <v>0</v>
      </c>
      <c r="F35" s="928">
        <f t="shared" si="0"/>
        <v>10</v>
      </c>
      <c r="G35" s="929" t="s">
        <v>827</v>
      </c>
      <c r="H35" s="929" t="s">
        <v>825</v>
      </c>
      <c r="I35" s="930">
        <f>[14]H.SATUAN!L51</f>
        <v>402000</v>
      </c>
      <c r="J35" s="930">
        <f t="shared" si="1"/>
        <v>0</v>
      </c>
      <c r="K35" s="931">
        <f t="shared" si="2"/>
        <v>4020000</v>
      </c>
    </row>
    <row r="36" spans="1:13" ht="13.2" x14ac:dyDescent="0.25">
      <c r="A36" s="964">
        <v>13</v>
      </c>
      <c r="B36" s="926" t="s">
        <v>833</v>
      </c>
      <c r="C36" s="927"/>
      <c r="D36" s="928">
        <v>1</v>
      </c>
      <c r="E36" s="928">
        <v>0</v>
      </c>
      <c r="F36" s="928">
        <f t="shared" si="0"/>
        <v>1</v>
      </c>
      <c r="G36" s="929" t="s">
        <v>827</v>
      </c>
      <c r="H36" s="929" t="s">
        <v>825</v>
      </c>
      <c r="I36" s="930">
        <f>[14]H.SATUAN!L52</f>
        <v>504000</v>
      </c>
      <c r="J36" s="930">
        <f t="shared" si="1"/>
        <v>0</v>
      </c>
      <c r="K36" s="931">
        <f t="shared" si="2"/>
        <v>504000</v>
      </c>
    </row>
    <row r="37" spans="1:13" ht="13.2" x14ac:dyDescent="0.25">
      <c r="A37" s="965"/>
      <c r="B37" s="966"/>
      <c r="C37" s="967"/>
      <c r="D37" s="968"/>
      <c r="E37" s="968"/>
      <c r="F37" s="968"/>
      <c r="G37" s="969"/>
      <c r="H37" s="969"/>
      <c r="I37" s="970"/>
      <c r="J37" s="930"/>
      <c r="K37" s="971"/>
    </row>
    <row r="38" spans="1:13" ht="13.2" x14ac:dyDescent="0.25">
      <c r="A38" s="474" t="s">
        <v>834</v>
      </c>
      <c r="B38" s="966"/>
      <c r="C38" s="967"/>
      <c r="D38" s="968"/>
      <c r="E38" s="968"/>
      <c r="F38" s="968"/>
      <c r="G38" s="969"/>
      <c r="H38" s="969"/>
      <c r="I38" s="970"/>
      <c r="J38" s="937">
        <f>SUM(J39:J40)</f>
        <v>0</v>
      </c>
      <c r="K38" s="972">
        <f>SUM(K39:K40)</f>
        <v>1484000</v>
      </c>
    </row>
    <row r="39" spans="1:13" ht="13.2" x14ac:dyDescent="0.25">
      <c r="A39" s="964">
        <v>2</v>
      </c>
      <c r="B39" s="973" t="s">
        <v>835</v>
      </c>
      <c r="C39" s="974"/>
      <c r="D39" s="928">
        <v>6</v>
      </c>
      <c r="E39" s="928">
        <v>0</v>
      </c>
      <c r="F39" s="975">
        <f>D39-E39</f>
        <v>6</v>
      </c>
      <c r="G39" s="976" t="s">
        <v>836</v>
      </c>
      <c r="H39" s="977" t="s">
        <v>837</v>
      </c>
      <c r="I39" s="978">
        <f>[14]H.SATUAN!L55</f>
        <v>224000</v>
      </c>
      <c r="J39" s="930">
        <f>I39*E39</f>
        <v>0</v>
      </c>
      <c r="K39" s="931">
        <f>F39*I39</f>
        <v>1344000</v>
      </c>
    </row>
    <row r="40" spans="1:13" ht="13.2" x14ac:dyDescent="0.25">
      <c r="A40" s="979">
        <v>3</v>
      </c>
      <c r="B40" s="980" t="s">
        <v>838</v>
      </c>
      <c r="C40" s="981"/>
      <c r="D40" s="982">
        <v>1</v>
      </c>
      <c r="E40" s="982">
        <v>0</v>
      </c>
      <c r="F40" s="983">
        <f>D40-E40</f>
        <v>1</v>
      </c>
      <c r="G40" s="984" t="s">
        <v>836</v>
      </c>
      <c r="H40" s="985" t="s">
        <v>837</v>
      </c>
      <c r="I40" s="986">
        <f>[14]H.SATUAN!L56</f>
        <v>140000</v>
      </c>
      <c r="J40" s="987">
        <f t="shared" si="1"/>
        <v>0</v>
      </c>
      <c r="K40" s="988">
        <f t="shared" si="2"/>
        <v>140000</v>
      </c>
    </row>
    <row r="41" spans="1:13" ht="13.2" x14ac:dyDescent="0.25">
      <c r="A41" s="1488" t="s">
        <v>566</v>
      </c>
      <c r="B41" s="1489"/>
      <c r="C41" s="1489"/>
      <c r="D41" s="1489"/>
      <c r="E41" s="1489"/>
      <c r="F41" s="1489"/>
      <c r="G41" s="1489"/>
      <c r="H41" s="1489"/>
      <c r="I41" s="1489"/>
      <c r="J41" s="951">
        <f>J27+J38</f>
        <v>0</v>
      </c>
      <c r="K41" s="952">
        <f>K27+K38</f>
        <v>6582900</v>
      </c>
    </row>
    <row r="42" spans="1:13" ht="13.2" x14ac:dyDescent="0.25">
      <c r="A42" s="953" t="s">
        <v>1004</v>
      </c>
      <c r="B42" s="954"/>
      <c r="C42" s="954"/>
      <c r="D42" s="956"/>
      <c r="E42" s="956"/>
      <c r="F42" s="956"/>
      <c r="G42" s="956"/>
      <c r="H42" s="956"/>
      <c r="I42" s="956"/>
      <c r="J42" s="956"/>
      <c r="K42" s="957"/>
      <c r="M42" s="989">
        <f>G42</f>
        <v>0</v>
      </c>
    </row>
    <row r="43" spans="1:13" ht="13.2" x14ac:dyDescent="0.25">
      <c r="A43" s="919">
        <v>1</v>
      </c>
      <c r="B43" s="926" t="s">
        <v>568</v>
      </c>
      <c r="C43" s="921"/>
      <c r="D43" s="922">
        <f>'[14]TOS-DRAINASE'!AD369</f>
        <v>42</v>
      </c>
      <c r="E43" s="922">
        <f>'[14]TOS-DRAINASE'!Z369</f>
        <v>0</v>
      </c>
      <c r="F43" s="922">
        <f>D43-E43</f>
        <v>42</v>
      </c>
      <c r="G43" s="923" t="s">
        <v>319</v>
      </c>
      <c r="H43" s="923" t="s">
        <v>839</v>
      </c>
      <c r="I43" s="924">
        <f>[14]H.SATUAN!L59</f>
        <v>125000</v>
      </c>
      <c r="J43" s="924">
        <f>I43*E43</f>
        <v>0</v>
      </c>
      <c r="K43" s="925">
        <f>F43*I43</f>
        <v>5250000</v>
      </c>
      <c r="M43" s="990">
        <f>'[10]RAB-gedung+PAJAK'!$I$73</f>
        <v>186876700</v>
      </c>
    </row>
    <row r="44" spans="1:13" s="992" customFormat="1" ht="13.2" x14ac:dyDescent="0.25">
      <c r="A44" s="919">
        <v>2</v>
      </c>
      <c r="B44" s="926" t="s">
        <v>570</v>
      </c>
      <c r="C44" s="921"/>
      <c r="D44" s="991">
        <f>'[14]TOS-DRAINASE'!AD370+'[14]TOS-DRAINASE'!AD371</f>
        <v>14</v>
      </c>
      <c r="E44" s="991">
        <f>'[14]TOS-DRAINASE'!Z370</f>
        <v>0</v>
      </c>
      <c r="F44" s="991">
        <f>D44-E44</f>
        <v>14</v>
      </c>
      <c r="G44" s="929" t="s">
        <v>319</v>
      </c>
      <c r="H44" s="929" t="s">
        <v>839</v>
      </c>
      <c r="I44" s="930">
        <f>[14]H.SATUAN!L60</f>
        <v>125000</v>
      </c>
      <c r="J44" s="930">
        <f>I44*E44</f>
        <v>0</v>
      </c>
      <c r="K44" s="931">
        <f>F44*I44</f>
        <v>1750000</v>
      </c>
      <c r="M44" s="993">
        <v>176990800</v>
      </c>
    </row>
    <row r="45" spans="1:13" s="992" customFormat="1" ht="13.2" x14ac:dyDescent="0.25">
      <c r="A45" s="994"/>
      <c r="B45" s="995"/>
      <c r="C45" s="995"/>
      <c r="D45" s="996">
        <f>SUM(D43:D44)</f>
        <v>56</v>
      </c>
      <c r="E45" s="996">
        <f>SUM(E43:E44)</f>
        <v>0</v>
      </c>
      <c r="F45" s="996">
        <f>SUM(F43:F44)</f>
        <v>56</v>
      </c>
      <c r="G45" s="997"/>
      <c r="H45" s="1489" t="s">
        <v>571</v>
      </c>
      <c r="I45" s="1490"/>
      <c r="J45" s="951">
        <f>SUM(J43:J44)</f>
        <v>0</v>
      </c>
      <c r="K45" s="998">
        <f>SUM(K43:K44)</f>
        <v>7000000</v>
      </c>
      <c r="M45" s="999">
        <f>'[11]RAB-gedung+PAJAK'!$I$66</f>
        <v>22445300</v>
      </c>
    </row>
    <row r="46" spans="1:13" s="992" customFormat="1" ht="13.2" x14ac:dyDescent="0.25">
      <c r="A46" s="1000" t="s">
        <v>840</v>
      </c>
      <c r="B46" s="1001"/>
      <c r="C46" s="1002"/>
      <c r="D46" s="1003"/>
      <c r="E46" s="1003"/>
      <c r="F46" s="1003"/>
      <c r="G46" s="1004"/>
      <c r="H46" s="1004"/>
      <c r="I46" s="1005"/>
      <c r="J46" s="1006"/>
      <c r="K46" s="1007"/>
      <c r="M46" s="1008">
        <v>88208700</v>
      </c>
    </row>
    <row r="47" spans="1:13" s="992" customFormat="1" ht="13.2" x14ac:dyDescent="0.25">
      <c r="A47" s="1009" t="s">
        <v>546</v>
      </c>
      <c r="B47" s="1010" t="s">
        <v>841</v>
      </c>
      <c r="C47" s="914"/>
      <c r="D47" s="1003"/>
      <c r="E47" s="1003"/>
      <c r="F47" s="1003"/>
      <c r="G47" s="1011"/>
      <c r="H47" s="1011"/>
      <c r="I47" s="1012"/>
      <c r="J47" s="1013">
        <f>SUM(J48:J49)</f>
        <v>0</v>
      </c>
      <c r="K47" s="1014">
        <f>SUM(K48:K49)</f>
        <v>200000</v>
      </c>
      <c r="M47" s="1008">
        <v>50885000</v>
      </c>
    </row>
    <row r="48" spans="1:13" s="992" customFormat="1" ht="13.2" x14ac:dyDescent="0.25">
      <c r="A48" s="1015">
        <v>1</v>
      </c>
      <c r="B48" s="1016" t="s">
        <v>842</v>
      </c>
      <c r="C48" s="1017"/>
      <c r="D48" s="1018">
        <v>1</v>
      </c>
      <c r="E48" s="1018">
        <v>0</v>
      </c>
      <c r="F48" s="1018">
        <f>D48-E48</f>
        <v>1</v>
      </c>
      <c r="G48" s="1019" t="s">
        <v>843</v>
      </c>
      <c r="H48" s="1019" t="s">
        <v>844</v>
      </c>
      <c r="I48" s="1020">
        <v>200000</v>
      </c>
      <c r="J48" s="1021">
        <f>E48*I48</f>
        <v>0</v>
      </c>
      <c r="K48" s="947">
        <f>F48*I48</f>
        <v>200000</v>
      </c>
    </row>
    <row r="49" spans="1:13" s="992" customFormat="1" ht="24.75" customHeight="1" x14ac:dyDescent="0.25">
      <c r="A49" s="1015"/>
      <c r="B49" s="1016"/>
      <c r="C49" s="1017"/>
      <c r="D49" s="1018"/>
      <c r="E49" s="1018"/>
      <c r="F49" s="1018"/>
      <c r="G49" s="1019"/>
      <c r="H49" s="1019"/>
      <c r="I49" s="1020"/>
      <c r="J49" s="1021"/>
      <c r="K49" s="947"/>
      <c r="M49" s="319">
        <f>SUM(M42:M48)</f>
        <v>525406500</v>
      </c>
    </row>
    <row r="50" spans="1:13" s="318" customFormat="1" ht="13.2" x14ac:dyDescent="0.25">
      <c r="A50" s="1022"/>
      <c r="B50" s="1023"/>
      <c r="C50" s="1023"/>
      <c r="D50" s="1024">
        <f>SUM(D43:D45)</f>
        <v>112</v>
      </c>
      <c r="E50" s="1024">
        <f>SUM(E43:E45)</f>
        <v>0</v>
      </c>
      <c r="F50" s="1024">
        <f>SUM(F43:F45)</f>
        <v>112</v>
      </c>
      <c r="G50" s="1025"/>
      <c r="H50" s="1023"/>
      <c r="I50" s="1026" t="s">
        <v>581</v>
      </c>
      <c r="J50" s="1027">
        <f>J47</f>
        <v>0</v>
      </c>
      <c r="K50" s="1028">
        <f>K47</f>
        <v>200000</v>
      </c>
    </row>
    <row r="51" spans="1:13" thickBot="1" x14ac:dyDescent="0.3">
      <c r="A51" s="1465" t="s">
        <v>582</v>
      </c>
      <c r="B51" s="1466"/>
      <c r="C51" s="1466"/>
      <c r="D51" s="1466"/>
      <c r="E51" s="1466"/>
      <c r="F51" s="1466"/>
      <c r="G51" s="1466"/>
      <c r="H51" s="1466"/>
      <c r="I51" s="1467"/>
      <c r="J51" s="1029">
        <f>J45+J41+J25</f>
        <v>0</v>
      </c>
      <c r="K51" s="1030">
        <f>K45+K41+K25+K50</f>
        <v>52002100</v>
      </c>
    </row>
    <row r="52" spans="1:13" thickBot="1" x14ac:dyDescent="0.3">
      <c r="A52" s="901"/>
      <c r="B52" s="901"/>
      <c r="C52" s="1031"/>
      <c r="D52" s="1032"/>
      <c r="E52" s="1032"/>
      <c r="F52" s="1032"/>
      <c r="G52" s="1033"/>
      <c r="H52" s="1033"/>
      <c r="I52" s="1034"/>
      <c r="J52" s="901"/>
      <c r="K52" s="1035"/>
    </row>
    <row r="53" spans="1:13" ht="13.2" x14ac:dyDescent="0.25">
      <c r="A53" s="1036"/>
      <c r="B53" s="1036"/>
      <c r="C53" s="1036"/>
      <c r="D53" s="1468" t="s">
        <v>845</v>
      </c>
      <c r="E53" s="1469"/>
      <c r="F53" s="1469"/>
      <c r="G53" s="1037" t="s">
        <v>846</v>
      </c>
      <c r="H53" s="1038"/>
      <c r="I53" s="1038"/>
      <c r="J53" s="1039"/>
      <c r="K53" s="1040">
        <f>J51+K51</f>
        <v>52002100</v>
      </c>
    </row>
    <row r="54" spans="1:13" ht="13.2" x14ac:dyDescent="0.25">
      <c r="A54" s="1036"/>
      <c r="B54" s="1036"/>
      <c r="C54" s="1036"/>
      <c r="D54" s="1470"/>
      <c r="E54" s="1471"/>
      <c r="F54" s="1471"/>
      <c r="G54" s="1041" t="s">
        <v>847</v>
      </c>
      <c r="H54" s="1023"/>
      <c r="I54" s="1023"/>
      <c r="J54" s="1042"/>
      <c r="K54" s="1043">
        <f>K51</f>
        <v>52002100</v>
      </c>
    </row>
    <row r="55" spans="1:13" thickBot="1" x14ac:dyDescent="0.3">
      <c r="A55" s="1036"/>
      <c r="B55" s="1036"/>
      <c r="C55" s="1036"/>
      <c r="D55" s="1472"/>
      <c r="E55" s="1473"/>
      <c r="F55" s="1473"/>
      <c r="G55" s="1044" t="s">
        <v>601</v>
      </c>
      <c r="H55" s="1045"/>
      <c r="I55" s="1045"/>
      <c r="J55" s="1046"/>
      <c r="K55" s="1047">
        <f>J51</f>
        <v>0</v>
      </c>
    </row>
    <row r="56" spans="1:13" thickBot="1" x14ac:dyDescent="0.3">
      <c r="A56" s="901"/>
      <c r="B56" s="901"/>
      <c r="C56" s="900"/>
      <c r="D56" s="901"/>
      <c r="E56" s="901"/>
      <c r="F56" s="1474"/>
      <c r="G56" s="1474"/>
      <c r="H56" s="1474"/>
      <c r="I56" s="1474"/>
      <c r="J56" s="1048"/>
      <c r="K56" s="1049"/>
    </row>
    <row r="57" spans="1:13" ht="13.2" x14ac:dyDescent="0.25">
      <c r="A57" s="901"/>
      <c r="B57" s="901"/>
      <c r="C57" s="900"/>
      <c r="D57" s="1475" t="s">
        <v>848</v>
      </c>
      <c r="E57" s="1476"/>
      <c r="F57" s="1477"/>
      <c r="G57" s="1050" t="s">
        <v>849</v>
      </c>
      <c r="H57" s="1050"/>
      <c r="I57" s="1050"/>
      <c r="J57" s="1051"/>
      <c r="K57" s="1052">
        <f>(K25/K53)*100</f>
        <v>73.495493451226011</v>
      </c>
    </row>
    <row r="58" spans="1:13" ht="13.2" x14ac:dyDescent="0.25">
      <c r="A58" s="901"/>
      <c r="B58" s="901"/>
      <c r="C58" s="900"/>
      <c r="D58" s="1478"/>
      <c r="E58" s="1479"/>
      <c r="F58" s="1480"/>
      <c r="G58" s="1053" t="s">
        <v>850</v>
      </c>
      <c r="H58" s="1053"/>
      <c r="I58" s="1053"/>
      <c r="J58" s="1054"/>
      <c r="K58" s="1055">
        <f>(K41/K53)*100</f>
        <v>12.658911851636761</v>
      </c>
    </row>
    <row r="59" spans="1:13" ht="13.2" x14ac:dyDescent="0.25">
      <c r="A59" s="901"/>
      <c r="B59" s="901"/>
      <c r="C59" s="900"/>
      <c r="D59" s="1478"/>
      <c r="E59" s="1479"/>
      <c r="F59" s="1480"/>
      <c r="G59" s="1053" t="s">
        <v>851</v>
      </c>
      <c r="H59" s="1053"/>
      <c r="I59" s="1053"/>
      <c r="J59" s="1054"/>
      <c r="K59" s="1055">
        <f>(K45/K53)*100</f>
        <v>13.460994844438975</v>
      </c>
    </row>
    <row r="60" spans="1:13" thickBot="1" x14ac:dyDescent="0.3">
      <c r="A60" s="901"/>
      <c r="B60" s="901"/>
      <c r="C60" s="900"/>
      <c r="D60" s="1478"/>
      <c r="E60" s="1479"/>
      <c r="F60" s="1480"/>
      <c r="G60" s="1056" t="s">
        <v>852</v>
      </c>
      <c r="H60" s="1056"/>
      <c r="I60" s="1056"/>
      <c r="J60" s="1057"/>
      <c r="K60" s="1058">
        <f>(K50/K53)*100</f>
        <v>0.38459985269825642</v>
      </c>
    </row>
    <row r="61" spans="1:13" thickBot="1" x14ac:dyDescent="0.3">
      <c r="A61" s="901"/>
      <c r="B61" s="901"/>
      <c r="C61" s="900"/>
      <c r="D61" s="1481"/>
      <c r="E61" s="1482"/>
      <c r="F61" s="1483"/>
      <c r="G61" s="1059" t="s">
        <v>600</v>
      </c>
      <c r="H61" s="1060"/>
      <c r="I61" s="1060"/>
      <c r="J61" s="1061"/>
      <c r="K61" s="1062">
        <f>SUM(K57:K60)</f>
        <v>100</v>
      </c>
    </row>
  </sheetData>
  <mergeCells count="18">
    <mergeCell ref="A2:K2"/>
    <mergeCell ref="A10:C14"/>
    <mergeCell ref="D10:F11"/>
    <mergeCell ref="G10:G14"/>
    <mergeCell ref="H10:H11"/>
    <mergeCell ref="I10:I11"/>
    <mergeCell ref="D12:D14"/>
    <mergeCell ref="E12:E14"/>
    <mergeCell ref="F12:F14"/>
    <mergeCell ref="A51:I51"/>
    <mergeCell ref="D53:F55"/>
    <mergeCell ref="F56:I56"/>
    <mergeCell ref="D57:F61"/>
    <mergeCell ref="H12:H14"/>
    <mergeCell ref="I13:I14"/>
    <mergeCell ref="A25:I25"/>
    <mergeCell ref="A41:I41"/>
    <mergeCell ref="H45:I45"/>
  </mergeCells>
  <conditionalFormatting sqref="K46 K48:K49">
    <cfRule type="cellIs" dxfId="3" priority="1" operator="greaterThan">
      <formula>1</formula>
    </cfRule>
    <cfRule type="cellIs" dxfId="2" priority="2" operator="greaterThan">
      <formula>1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10000" scale="8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CDCF-D54F-44AA-B6A1-F44BD97FDD07}">
  <sheetPr>
    <tabColor rgb="FF00B0F0"/>
  </sheetPr>
  <dimension ref="A2:U65"/>
  <sheetViews>
    <sheetView zoomScaleNormal="100" zoomScaleSheetLayoutView="100" workbookViewId="0">
      <selection activeCell="S3" sqref="S3:S4"/>
    </sheetView>
  </sheetViews>
  <sheetFormatPr defaultColWidth="9.33203125" defaultRowHeight="13.2" x14ac:dyDescent="0.25"/>
  <cols>
    <col min="1" max="1" width="2" style="619" customWidth="1"/>
    <col min="2" max="2" width="5.44140625" style="620" customWidth="1"/>
    <col min="3" max="3" width="9.109375" style="620" customWidth="1"/>
    <col min="4" max="4" width="3.44140625" style="620" customWidth="1"/>
    <col min="5" max="5" width="18.44140625" style="619" customWidth="1"/>
    <col min="6" max="10" width="9.109375" style="619" customWidth="1"/>
    <col min="11" max="11" width="11.109375" style="619" customWidth="1"/>
    <col min="12" max="12" width="0.109375" style="619" customWidth="1"/>
    <col min="13" max="13" width="8" style="619" customWidth="1"/>
    <col min="14" max="14" width="4.44140625" style="619" customWidth="1"/>
    <col min="15" max="15" width="13.109375" style="619" customWidth="1"/>
    <col min="16" max="16" width="4.77734375" style="619" hidden="1" customWidth="1"/>
    <col min="17" max="17" width="7" style="619" hidden="1" customWidth="1"/>
    <col min="18" max="18" width="5.109375" style="619" hidden="1" customWidth="1"/>
    <col min="19" max="19" width="13" style="619" bestFit="1" customWidth="1"/>
    <col min="20" max="21" width="13.109375" style="619" bestFit="1" customWidth="1"/>
    <col min="22" max="22" width="9.33203125" style="619"/>
    <col min="23" max="23" width="13.109375" style="619" bestFit="1" customWidth="1"/>
    <col min="24" max="24" width="12" style="619" bestFit="1" customWidth="1"/>
    <col min="25" max="16384" width="9.33203125" style="619"/>
  </cols>
  <sheetData>
    <row r="2" spans="1:20" x14ac:dyDescent="0.25">
      <c r="B2" s="722" t="s">
        <v>588</v>
      </c>
      <c r="C2" s="721"/>
      <c r="D2" s="721"/>
      <c r="O2" s="720" t="s">
        <v>589</v>
      </c>
      <c r="R2" s="720"/>
    </row>
    <row r="3" spans="1:20" x14ac:dyDescent="0.25">
      <c r="B3" s="721"/>
      <c r="C3" s="721"/>
      <c r="D3" s="721"/>
      <c r="O3" s="720"/>
      <c r="R3" s="720"/>
      <c r="S3" s="244" t="s">
        <v>586</v>
      </c>
    </row>
    <row r="4" spans="1:20" ht="15.6" x14ac:dyDescent="0.3">
      <c r="B4" s="1573" t="s">
        <v>590</v>
      </c>
      <c r="C4" s="1573"/>
      <c r="D4" s="1573"/>
      <c r="E4" s="1573"/>
      <c r="F4" s="1573"/>
      <c r="G4" s="1573"/>
      <c r="H4" s="1573"/>
      <c r="I4" s="1573"/>
      <c r="J4" s="1573"/>
      <c r="K4" s="1573"/>
      <c r="L4" s="1573"/>
      <c r="M4" s="1573"/>
      <c r="N4" s="1573"/>
      <c r="O4" s="1573"/>
      <c r="P4" s="1573"/>
      <c r="Q4" s="1573"/>
      <c r="R4" s="1573"/>
      <c r="S4" s="244" t="s">
        <v>587</v>
      </c>
      <c r="T4" s="619">
        <f>L44</f>
        <v>34674100</v>
      </c>
    </row>
    <row r="5" spans="1:20" x14ac:dyDescent="0.25"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</row>
    <row r="6" spans="1:20" x14ac:dyDescent="0.25">
      <c r="B6" s="623" t="s">
        <v>535</v>
      </c>
      <c r="C6" s="623"/>
      <c r="D6" s="620" t="s">
        <v>137</v>
      </c>
      <c r="E6" s="716" t="str">
        <f>+[15]INPUT!L6</f>
        <v>Jawa Timur</v>
      </c>
      <c r="F6" s="718"/>
      <c r="G6" s="718"/>
      <c r="H6" s="718"/>
      <c r="I6" s="718"/>
      <c r="N6" s="716"/>
      <c r="O6" s="716"/>
      <c r="P6" s="716"/>
      <c r="Q6" s="716"/>
    </row>
    <row r="7" spans="1:20" x14ac:dyDescent="0.25">
      <c r="B7" s="623" t="s">
        <v>536</v>
      </c>
      <c r="C7" s="623"/>
      <c r="D7" s="620" t="s">
        <v>137</v>
      </c>
      <c r="E7" s="716" t="str">
        <f>+[15]INPUT!L7</f>
        <v>Malang</v>
      </c>
      <c r="F7" s="718"/>
      <c r="G7" s="718"/>
      <c r="H7" s="718"/>
      <c r="I7" s="718"/>
      <c r="J7" s="717"/>
      <c r="K7" s="717" t="s">
        <v>591</v>
      </c>
      <c r="L7" s="716"/>
      <c r="M7" s="716" t="str">
        <f>[15]INPUT!L10</f>
        <v>RW. 004 (MASJID NURUL YAQIN)</v>
      </c>
      <c r="N7" s="716"/>
      <c r="O7" s="716"/>
      <c r="P7" s="716"/>
      <c r="Q7" s="716"/>
    </row>
    <row r="8" spans="1:20" x14ac:dyDescent="0.25">
      <c r="B8" s="623" t="s">
        <v>538</v>
      </c>
      <c r="C8" s="623"/>
      <c r="D8" s="620" t="s">
        <v>137</v>
      </c>
      <c r="E8" s="716" t="str">
        <f>+[15]INPUT!L8</f>
        <v>Wagir</v>
      </c>
      <c r="F8" s="718"/>
      <c r="G8" s="718"/>
      <c r="H8" s="718"/>
      <c r="I8" s="718"/>
      <c r="J8" s="717"/>
      <c r="K8" s="717" t="s">
        <v>592</v>
      </c>
      <c r="L8" s="716" t="e">
        <f>#REF!</f>
        <v>#REF!</v>
      </c>
      <c r="M8" s="716" t="s">
        <v>593</v>
      </c>
      <c r="N8" s="716"/>
      <c r="O8" s="716"/>
      <c r="P8" s="716"/>
      <c r="Q8" s="716"/>
    </row>
    <row r="9" spans="1:20" x14ac:dyDescent="0.25">
      <c r="B9" s="623" t="s">
        <v>43</v>
      </c>
      <c r="C9" s="623"/>
      <c r="D9" s="620" t="s">
        <v>137</v>
      </c>
      <c r="E9" s="716" t="str">
        <f>+[15]INPUT!L9</f>
        <v>Pandanlandung</v>
      </c>
      <c r="F9" s="714"/>
      <c r="G9" s="714"/>
      <c r="H9" s="714"/>
      <c r="I9" s="714"/>
      <c r="J9" s="717"/>
      <c r="K9" s="717" t="s">
        <v>594</v>
      </c>
      <c r="L9" s="716" t="e">
        <f>#REF!</f>
        <v>#REF!</v>
      </c>
      <c r="M9" s="715">
        <f>'[15]TOS PAVING'!H80</f>
        <v>120</v>
      </c>
      <c r="N9" s="714" t="s">
        <v>595</v>
      </c>
      <c r="O9" s="715"/>
      <c r="P9" s="714" t="s">
        <v>313</v>
      </c>
      <c r="Q9" s="714"/>
      <c r="R9" s="714"/>
    </row>
    <row r="10" spans="1:20" ht="13.8" thickBot="1" x14ac:dyDescent="0.3">
      <c r="B10" s="623"/>
      <c r="C10" s="623"/>
      <c r="E10" s="716"/>
      <c r="F10" s="714"/>
      <c r="G10" s="714"/>
      <c r="H10" s="714"/>
      <c r="I10" s="714"/>
      <c r="J10" s="717"/>
      <c r="K10" s="717"/>
      <c r="L10" s="716"/>
      <c r="M10" s="715"/>
      <c r="N10" s="714"/>
      <c r="O10" s="715"/>
      <c r="P10" s="714"/>
      <c r="Q10" s="714"/>
      <c r="R10" s="714"/>
    </row>
    <row r="11" spans="1:20" s="710" customFormat="1" ht="14.25" customHeight="1" thickBot="1" x14ac:dyDescent="0.3">
      <c r="A11" s="619"/>
      <c r="B11" s="1543" t="s">
        <v>540</v>
      </c>
      <c r="C11" s="1544"/>
      <c r="D11" s="1544"/>
      <c r="E11" s="1545"/>
      <c r="F11" s="1555" t="s">
        <v>541</v>
      </c>
      <c r="G11" s="1556"/>
      <c r="H11" s="1556"/>
      <c r="I11" s="1549" t="s">
        <v>542</v>
      </c>
      <c r="J11" s="1551" t="s">
        <v>596</v>
      </c>
      <c r="K11" s="1552"/>
      <c r="L11" s="1537" t="s">
        <v>597</v>
      </c>
      <c r="M11" s="1527" t="s">
        <v>598</v>
      </c>
      <c r="N11" s="1528"/>
      <c r="O11" s="1529"/>
      <c r="P11" s="1527" t="s">
        <v>599</v>
      </c>
      <c r="Q11" s="1528"/>
      <c r="R11" s="1529"/>
    </row>
    <row r="12" spans="1:20" s="710" customFormat="1" ht="48.75" customHeight="1" thickBot="1" x14ac:dyDescent="0.3">
      <c r="A12" s="619"/>
      <c r="B12" s="1546"/>
      <c r="C12" s="1547"/>
      <c r="D12" s="1547"/>
      <c r="E12" s="1548"/>
      <c r="F12" s="713" t="s">
        <v>600</v>
      </c>
      <c r="G12" s="712" t="s">
        <v>601</v>
      </c>
      <c r="H12" s="711" t="s">
        <v>168</v>
      </c>
      <c r="I12" s="1550"/>
      <c r="J12" s="1553"/>
      <c r="K12" s="1554"/>
      <c r="L12" s="1538"/>
      <c r="M12" s="1530"/>
      <c r="N12" s="1531"/>
      <c r="O12" s="1532"/>
      <c r="P12" s="1530"/>
      <c r="Q12" s="1531"/>
      <c r="R12" s="1532"/>
    </row>
    <row r="13" spans="1:20" ht="13.8" thickBot="1" x14ac:dyDescent="0.3">
      <c r="B13" s="708"/>
      <c r="C13" s="1534" t="s">
        <v>395</v>
      </c>
      <c r="D13" s="1534"/>
      <c r="E13" s="1534"/>
      <c r="F13" s="1533" t="s">
        <v>396</v>
      </c>
      <c r="G13" s="1534"/>
      <c r="H13" s="1535"/>
      <c r="I13" s="707" t="s">
        <v>602</v>
      </c>
      <c r="J13" s="1533" t="s">
        <v>30</v>
      </c>
      <c r="K13" s="1541"/>
      <c r="L13" s="709"/>
      <c r="M13" s="1536" t="s">
        <v>603</v>
      </c>
      <c r="N13" s="1534"/>
      <c r="O13" s="1535"/>
      <c r="P13" s="1533" t="s">
        <v>31</v>
      </c>
      <c r="Q13" s="1534"/>
      <c r="R13" s="1535"/>
    </row>
    <row r="14" spans="1:20" ht="12.75" customHeight="1" x14ac:dyDescent="0.25">
      <c r="B14" s="706" t="s">
        <v>604</v>
      </c>
      <c r="C14" s="1542" t="s">
        <v>545</v>
      </c>
      <c r="D14" s="1542"/>
      <c r="E14" s="1542"/>
      <c r="F14" s="705"/>
      <c r="G14" s="703"/>
      <c r="H14" s="704"/>
      <c r="I14" s="703"/>
      <c r="J14" s="1539"/>
      <c r="K14" s="1540"/>
      <c r="L14" s="702"/>
      <c r="M14" s="701"/>
      <c r="N14" s="700"/>
      <c r="O14" s="699"/>
      <c r="P14" s="701"/>
      <c r="Q14" s="700"/>
      <c r="R14" s="699"/>
    </row>
    <row r="15" spans="1:20" x14ac:dyDescent="0.25">
      <c r="B15" s="656"/>
      <c r="C15" s="1524" t="s">
        <v>282</v>
      </c>
      <c r="D15" s="1524"/>
      <c r="E15" s="1524"/>
      <c r="F15" s="661">
        <f>[15]ANALISA!D109</f>
        <v>4</v>
      </c>
      <c r="G15" s="683"/>
      <c r="H15" s="661">
        <f t="shared" ref="H15:H23" si="0">F15-G15</f>
        <v>4</v>
      </c>
      <c r="I15" s="698" t="s">
        <v>311</v>
      </c>
      <c r="J15" s="1557">
        <f>'[15]DAFTAR HARGA'!N15</f>
        <v>138600</v>
      </c>
      <c r="K15" s="1526"/>
      <c r="L15" s="632">
        <f>G15*J15</f>
        <v>0</v>
      </c>
      <c r="M15" s="1514">
        <f>H15*J15</f>
        <v>554400</v>
      </c>
      <c r="N15" s="1515"/>
      <c r="O15" s="1516"/>
      <c r="P15" s="1514">
        <f>M15</f>
        <v>554400</v>
      </c>
      <c r="Q15" s="1515"/>
      <c r="R15" s="1516"/>
    </row>
    <row r="16" spans="1:20" x14ac:dyDescent="0.25">
      <c r="B16" s="656"/>
      <c r="C16" s="639" t="str">
        <f>[15]ANALISA!B110</f>
        <v>Pasir Beton</v>
      </c>
      <c r="D16" s="639"/>
      <c r="E16" s="639"/>
      <c r="F16" s="658">
        <f>[15]ANALISA!D110</f>
        <v>4</v>
      </c>
      <c r="G16" s="696"/>
      <c r="H16" s="661">
        <f t="shared" si="0"/>
        <v>4</v>
      </c>
      <c r="I16" s="695" t="s">
        <v>311</v>
      </c>
      <c r="J16" s="697"/>
      <c r="K16" s="660">
        <f>'[15]DAFTAR HARGA'!N13</f>
        <v>293100</v>
      </c>
      <c r="L16" s="632"/>
      <c r="M16" s="1514">
        <f>H16*K16</f>
        <v>1172400</v>
      </c>
      <c r="N16" s="1515"/>
      <c r="O16" s="1516"/>
      <c r="P16" s="631"/>
      <c r="Q16" s="630"/>
      <c r="R16" s="629"/>
    </row>
    <row r="17" spans="2:18" x14ac:dyDescent="0.25">
      <c r="B17" s="656"/>
      <c r="C17" s="639" t="str">
        <f>[15]ANALISA!B111</f>
        <v>Batu Pecah 2-3/Koral Beton</v>
      </c>
      <c r="D17" s="639"/>
      <c r="E17" s="639"/>
      <c r="F17" s="658">
        <f>[15]ANALISA!D111</f>
        <v>6</v>
      </c>
      <c r="G17" s="696"/>
      <c r="H17" s="661">
        <f t="shared" si="0"/>
        <v>6</v>
      </c>
      <c r="I17" s="695" t="s">
        <v>311</v>
      </c>
      <c r="J17" s="697"/>
      <c r="K17" s="660">
        <f>'[15]DAFTAR HARGA'!N17</f>
        <v>295400</v>
      </c>
      <c r="L17" s="632"/>
      <c r="M17" s="1514">
        <f>H17*K17</f>
        <v>1772400</v>
      </c>
      <c r="N17" s="1515"/>
      <c r="O17" s="1516"/>
      <c r="P17" s="631"/>
      <c r="Q17" s="630"/>
      <c r="R17" s="629"/>
    </row>
    <row r="18" spans="2:18" x14ac:dyDescent="0.25">
      <c r="B18" s="656"/>
      <c r="C18" s="639" t="s">
        <v>605</v>
      </c>
      <c r="D18" s="639"/>
      <c r="E18" s="639"/>
      <c r="F18" s="658">
        <f>[15]ANALISA!D112</f>
        <v>39</v>
      </c>
      <c r="G18" s="696"/>
      <c r="H18" s="661">
        <f t="shared" si="0"/>
        <v>39</v>
      </c>
      <c r="I18" s="695" t="s">
        <v>312</v>
      </c>
      <c r="J18" s="1560">
        <f>'[15]DAFTAR HARGA'!N18</f>
        <v>76800</v>
      </c>
      <c r="K18" s="1559"/>
      <c r="L18" s="632">
        <f>G18*J18</f>
        <v>0</v>
      </c>
      <c r="M18" s="1514">
        <f>H18*J18</f>
        <v>2995200</v>
      </c>
      <c r="N18" s="1515"/>
      <c r="O18" s="1516"/>
      <c r="P18" s="1514">
        <f>M18</f>
        <v>2995200</v>
      </c>
      <c r="Q18" s="1515"/>
      <c r="R18" s="1516"/>
    </row>
    <row r="19" spans="2:18" x14ac:dyDescent="0.25">
      <c r="B19" s="656"/>
      <c r="C19" s="639" t="str">
        <f>[15]ANALISA!B114</f>
        <v>Besi Buis Beton D 40</v>
      </c>
      <c r="D19" s="639"/>
      <c r="E19" s="639"/>
      <c r="F19" s="658">
        <f>[15]ANALISA!D114</f>
        <v>120</v>
      </c>
      <c r="G19" s="696"/>
      <c r="H19" s="661">
        <f t="shared" si="0"/>
        <v>120</v>
      </c>
      <c r="I19" s="695" t="s">
        <v>317</v>
      </c>
      <c r="J19" s="1560">
        <f>'[15]DAFTAR HARGA'!N23</f>
        <v>124100</v>
      </c>
      <c r="K19" s="1559"/>
      <c r="L19" s="632"/>
      <c r="M19" s="1514">
        <f>H19*J19</f>
        <v>14892000</v>
      </c>
      <c r="N19" s="1515"/>
      <c r="O19" s="1516"/>
      <c r="P19" s="631"/>
      <c r="Q19" s="630"/>
      <c r="R19" s="629"/>
    </row>
    <row r="20" spans="2:18" x14ac:dyDescent="0.25">
      <c r="B20" s="656"/>
      <c r="C20" s="639" t="str">
        <f>[15]ANALISA!B113</f>
        <v xml:space="preserve">Bata merah </v>
      </c>
      <c r="D20" s="639"/>
      <c r="E20" s="639"/>
      <c r="F20" s="658">
        <f>[15]ANALISA!D113</f>
        <v>755</v>
      </c>
      <c r="G20" s="658"/>
      <c r="H20" s="661">
        <f t="shared" si="0"/>
        <v>755</v>
      </c>
      <c r="I20" s="694" t="s">
        <v>317</v>
      </c>
      <c r="J20" s="1558">
        <f>'[15]DAFTAR HARGA'!N19</f>
        <v>900</v>
      </c>
      <c r="K20" s="1559"/>
      <c r="L20" s="632">
        <f>G20*J20</f>
        <v>0</v>
      </c>
      <c r="M20" s="1514">
        <f>H20*J20</f>
        <v>679500</v>
      </c>
      <c r="N20" s="1515"/>
      <c r="O20" s="1516"/>
      <c r="P20" s="1514">
        <f>M20</f>
        <v>679500</v>
      </c>
      <c r="Q20" s="1515"/>
      <c r="R20" s="1516"/>
    </row>
    <row r="21" spans="2:18" x14ac:dyDescent="0.25">
      <c r="B21" s="656"/>
      <c r="C21" s="639" t="str">
        <f>'[15]DAFTAR HARGA'!B29</f>
        <v>Griil Besi</v>
      </c>
      <c r="D21" s="639"/>
      <c r="E21" s="639"/>
      <c r="F21" s="658">
        <f>[15]ANALISA!D115</f>
        <v>11</v>
      </c>
      <c r="G21" s="696"/>
      <c r="H21" s="661">
        <f t="shared" si="0"/>
        <v>11</v>
      </c>
      <c r="I21" s="695" t="s">
        <v>313</v>
      </c>
      <c r="J21" s="634"/>
      <c r="K21" s="633">
        <f>'[15]DAFTAR HARGA'!N29</f>
        <v>413500</v>
      </c>
      <c r="L21" s="632"/>
      <c r="M21" s="631"/>
      <c r="N21" s="630"/>
      <c r="O21" s="629">
        <f>H21*K21</f>
        <v>4548500</v>
      </c>
      <c r="P21" s="693"/>
      <c r="Q21" s="692"/>
      <c r="R21" s="691"/>
    </row>
    <row r="22" spans="2:18" x14ac:dyDescent="0.25">
      <c r="B22" s="656"/>
      <c r="C22" s="639" t="s">
        <v>606</v>
      </c>
      <c r="D22" s="639"/>
      <c r="E22" s="639"/>
      <c r="F22" s="658">
        <v>1</v>
      </c>
      <c r="G22" s="696"/>
      <c r="H22" s="661">
        <f t="shared" si="0"/>
        <v>1</v>
      </c>
      <c r="I22" s="695" t="s">
        <v>317</v>
      </c>
      <c r="J22" s="1560">
        <f>'[15]DAFTAR HARGA'!N35</f>
        <v>173900</v>
      </c>
      <c r="K22" s="1559"/>
      <c r="L22" s="632"/>
      <c r="M22" s="1514">
        <f>H22*J22</f>
        <v>173900</v>
      </c>
      <c r="N22" s="1515"/>
      <c r="O22" s="1516"/>
      <c r="P22" s="693"/>
      <c r="Q22" s="692"/>
      <c r="R22" s="691"/>
    </row>
    <row r="23" spans="2:18" ht="13.8" thickBot="1" x14ac:dyDescent="0.3">
      <c r="B23" s="656"/>
      <c r="C23" s="639" t="s">
        <v>320</v>
      </c>
      <c r="D23" s="639"/>
      <c r="E23" s="639"/>
      <c r="F23" s="658">
        <v>1</v>
      </c>
      <c r="G23" s="658"/>
      <c r="H23" s="661">
        <f t="shared" si="0"/>
        <v>1</v>
      </c>
      <c r="I23" s="694" t="s">
        <v>607</v>
      </c>
      <c r="J23" s="1558">
        <f>'[15]DAFTAR HARGA'!N36</f>
        <v>521500</v>
      </c>
      <c r="K23" s="1559"/>
      <c r="L23" s="632">
        <f>G23*J23</f>
        <v>0</v>
      </c>
      <c r="M23" s="1514">
        <f>H23*J23</f>
        <v>521500</v>
      </c>
      <c r="N23" s="1515"/>
      <c r="O23" s="1516"/>
      <c r="P23" s="693"/>
      <c r="Q23" s="692"/>
      <c r="R23" s="691"/>
    </row>
    <row r="24" spans="2:18" ht="13.8" thickBot="1" x14ac:dyDescent="0.3">
      <c r="B24" s="1520" t="s">
        <v>608</v>
      </c>
      <c r="C24" s="1521"/>
      <c r="D24" s="1521"/>
      <c r="E24" s="1521"/>
      <c r="F24" s="1521"/>
      <c r="G24" s="1521"/>
      <c r="H24" s="1521"/>
      <c r="I24" s="1521"/>
      <c r="J24" s="1521"/>
      <c r="K24" s="1522"/>
      <c r="L24" s="628">
        <f>SUM(L15:L20)</f>
        <v>0</v>
      </c>
      <c r="M24" s="1509">
        <f>SUM(M15:O20)</f>
        <v>22065900</v>
      </c>
      <c r="N24" s="1512"/>
      <c r="O24" s="1513"/>
      <c r="P24" s="1509">
        <f>SUM(P15:R20)</f>
        <v>4229100</v>
      </c>
      <c r="Q24" s="1512"/>
      <c r="R24" s="1513"/>
    </row>
    <row r="25" spans="2:18" ht="13.5" customHeight="1" x14ac:dyDescent="0.25">
      <c r="B25" s="669" t="s">
        <v>609</v>
      </c>
      <c r="C25" s="1523" t="s">
        <v>610</v>
      </c>
      <c r="D25" s="1523"/>
      <c r="E25" s="1523"/>
      <c r="F25" s="667"/>
      <c r="G25" s="668"/>
      <c r="H25" s="667"/>
      <c r="I25" s="667"/>
      <c r="J25" s="1567"/>
      <c r="K25" s="1568"/>
      <c r="L25" s="666"/>
      <c r="M25" s="665"/>
      <c r="N25" s="664"/>
      <c r="O25" s="663"/>
      <c r="P25" s="665"/>
      <c r="Q25" s="664"/>
      <c r="R25" s="663"/>
    </row>
    <row r="26" spans="2:18" ht="13.8" x14ac:dyDescent="0.25">
      <c r="B26" s="640"/>
      <c r="C26" s="690" t="s">
        <v>562</v>
      </c>
      <c r="D26" s="689"/>
      <c r="E26" s="688"/>
      <c r="F26" s="661">
        <v>5</v>
      </c>
      <c r="G26" s="683">
        <v>0</v>
      </c>
      <c r="H26" s="661">
        <f t="shared" ref="H26:H33" si="1">F26</f>
        <v>5</v>
      </c>
      <c r="I26" s="682" t="s">
        <v>317</v>
      </c>
      <c r="J26" s="1569">
        <f>'[15]DAFTAR HARGA'!N48</f>
        <v>11600</v>
      </c>
      <c r="K26" s="1570"/>
      <c r="L26" s="632">
        <f>G26*J26</f>
        <v>0</v>
      </c>
      <c r="M26" s="1517">
        <f>H26*J26</f>
        <v>58000</v>
      </c>
      <c r="N26" s="1518"/>
      <c r="O26" s="1519"/>
      <c r="P26" s="1517">
        <f>M26</f>
        <v>58000</v>
      </c>
      <c r="Q26" s="1518"/>
      <c r="R26" s="1519"/>
    </row>
    <row r="27" spans="2:18" ht="13.8" x14ac:dyDescent="0.25">
      <c r="B27" s="681"/>
      <c r="C27" s="690" t="s">
        <v>563</v>
      </c>
      <c r="D27" s="689"/>
      <c r="E27" s="688"/>
      <c r="F27" s="661">
        <v>1</v>
      </c>
      <c r="G27" s="683">
        <v>0</v>
      </c>
      <c r="H27" s="661">
        <f t="shared" si="1"/>
        <v>1</v>
      </c>
      <c r="I27" s="682" t="s">
        <v>316</v>
      </c>
      <c r="J27" s="1569">
        <f>'[15]DAFTAR HARGA'!N37</f>
        <v>3500</v>
      </c>
      <c r="K27" s="1570"/>
      <c r="L27" s="632">
        <f>G27*J27</f>
        <v>0</v>
      </c>
      <c r="M27" s="1517">
        <f>H27*J27</f>
        <v>3500</v>
      </c>
      <c r="N27" s="1518"/>
      <c r="O27" s="1519"/>
      <c r="P27" s="1517">
        <f>M27</f>
        <v>3500</v>
      </c>
      <c r="Q27" s="1518"/>
      <c r="R27" s="1519"/>
    </row>
    <row r="28" spans="2:18" ht="13.8" x14ac:dyDescent="0.25">
      <c r="B28" s="681"/>
      <c r="C28" s="690" t="s">
        <v>830</v>
      </c>
      <c r="D28" s="689"/>
      <c r="E28" s="688"/>
      <c r="F28" s="661">
        <v>2</v>
      </c>
      <c r="G28" s="683">
        <v>0</v>
      </c>
      <c r="H28" s="661">
        <f t="shared" si="1"/>
        <v>2</v>
      </c>
      <c r="I28" s="682" t="s">
        <v>317</v>
      </c>
      <c r="J28" s="674"/>
      <c r="K28" s="673">
        <f>'[15]DAFTAR HARGA'!N43</f>
        <v>63800</v>
      </c>
      <c r="L28" s="632"/>
      <c r="M28" s="1517">
        <f>H28*K28</f>
        <v>127600</v>
      </c>
      <c r="N28" s="1518"/>
      <c r="O28" s="1519"/>
      <c r="P28" s="672"/>
      <c r="Q28" s="671"/>
      <c r="R28" s="670"/>
    </row>
    <row r="29" spans="2:18" ht="13.8" x14ac:dyDescent="0.25">
      <c r="B29" s="681"/>
      <c r="C29" s="690" t="s">
        <v>826</v>
      </c>
      <c r="D29" s="689"/>
      <c r="E29" s="688"/>
      <c r="F29" s="661">
        <v>1</v>
      </c>
      <c r="G29" s="683">
        <v>0</v>
      </c>
      <c r="H29" s="661">
        <f t="shared" si="1"/>
        <v>1</v>
      </c>
      <c r="I29" s="682" t="s">
        <v>317</v>
      </c>
      <c r="J29" s="674"/>
      <c r="K29" s="673">
        <f>'[15]DAFTAR HARGA'!N40</f>
        <v>81200</v>
      </c>
      <c r="L29" s="632"/>
      <c r="M29" s="1517">
        <f>H29*K29</f>
        <v>81200</v>
      </c>
      <c r="N29" s="1518"/>
      <c r="O29" s="1519"/>
      <c r="P29" s="672"/>
      <c r="Q29" s="671"/>
      <c r="R29" s="670"/>
    </row>
    <row r="30" spans="2:18" ht="13.8" x14ac:dyDescent="0.25">
      <c r="B30" s="681"/>
      <c r="C30" s="690" t="s">
        <v>829</v>
      </c>
      <c r="D30" s="689"/>
      <c r="E30" s="688"/>
      <c r="F30" s="661">
        <v>2</v>
      </c>
      <c r="G30" s="683">
        <v>0</v>
      </c>
      <c r="H30" s="661">
        <f t="shared" si="1"/>
        <v>2</v>
      </c>
      <c r="I30" s="682" t="s">
        <v>317</v>
      </c>
      <c r="J30" s="674"/>
      <c r="K30" s="673">
        <f>'[15]DAFTAR HARGA'!N42</f>
        <v>87000</v>
      </c>
      <c r="L30" s="632"/>
      <c r="M30" s="1517">
        <f>H30*K30</f>
        <v>174000</v>
      </c>
      <c r="N30" s="1518"/>
      <c r="O30" s="1519"/>
      <c r="P30" s="672"/>
      <c r="Q30" s="671"/>
      <c r="R30" s="670"/>
    </row>
    <row r="31" spans="2:18" ht="13.8" x14ac:dyDescent="0.25">
      <c r="B31" s="681"/>
      <c r="C31" s="690" t="s">
        <v>564</v>
      </c>
      <c r="D31" s="689"/>
      <c r="E31" s="688"/>
      <c r="F31" s="661">
        <v>1</v>
      </c>
      <c r="G31" s="683">
        <v>0</v>
      </c>
      <c r="H31" s="661">
        <f t="shared" si="1"/>
        <v>1</v>
      </c>
      <c r="I31" s="682" t="s">
        <v>317</v>
      </c>
      <c r="J31" s="1569">
        <f>'[15]DAFTAR HARGA'!N38</f>
        <v>869100</v>
      </c>
      <c r="K31" s="1570"/>
      <c r="L31" s="632">
        <f>G31*J31</f>
        <v>0</v>
      </c>
      <c r="M31" s="1517">
        <f>H31*J31</f>
        <v>869100</v>
      </c>
      <c r="N31" s="1518"/>
      <c r="O31" s="1519"/>
      <c r="P31" s="1517">
        <f>M31</f>
        <v>869100</v>
      </c>
      <c r="Q31" s="1518"/>
      <c r="R31" s="1519"/>
    </row>
    <row r="32" spans="2:18" ht="13.8" x14ac:dyDescent="0.25">
      <c r="B32" s="681"/>
      <c r="C32" s="687" t="s">
        <v>510</v>
      </c>
      <c r="D32" s="686"/>
      <c r="E32" s="685"/>
      <c r="F32" s="684">
        <v>1</v>
      </c>
      <c r="G32" s="683">
        <v>0</v>
      </c>
      <c r="H32" s="661">
        <f t="shared" si="1"/>
        <v>1</v>
      </c>
      <c r="I32" s="682" t="s">
        <v>317</v>
      </c>
      <c r="J32" s="674"/>
      <c r="K32" s="673">
        <f>'[15]DAFTAR HARGA'!N49</f>
        <v>5700</v>
      </c>
      <c r="L32" s="632"/>
      <c r="M32" s="1517">
        <f>H32*K32</f>
        <v>5700</v>
      </c>
      <c r="N32" s="1518"/>
      <c r="O32" s="1519"/>
      <c r="P32" s="672"/>
      <c r="Q32" s="671"/>
      <c r="R32" s="670"/>
    </row>
    <row r="33" spans="2:21" ht="14.4" thickBot="1" x14ac:dyDescent="0.3">
      <c r="B33" s="681"/>
      <c r="C33" s="680" t="s">
        <v>611</v>
      </c>
      <c r="D33" s="679"/>
      <c r="E33" s="678"/>
      <c r="F33" s="676">
        <v>3</v>
      </c>
      <c r="G33" s="677">
        <v>0</v>
      </c>
      <c r="H33" s="676">
        <f t="shared" si="1"/>
        <v>3</v>
      </c>
      <c r="I33" s="675" t="s">
        <v>317</v>
      </c>
      <c r="J33" s="1569">
        <f>'[15]DAFTAR HARGA'!N39</f>
        <v>4700</v>
      </c>
      <c r="K33" s="1570"/>
      <c r="L33" s="632">
        <f>G33*J33</f>
        <v>0</v>
      </c>
      <c r="M33" s="1517">
        <f>H33*J33</f>
        <v>14100</v>
      </c>
      <c r="N33" s="1518"/>
      <c r="O33" s="1519"/>
      <c r="P33" s="1517">
        <f>M33</f>
        <v>14100</v>
      </c>
      <c r="Q33" s="1518"/>
      <c r="R33" s="1519"/>
    </row>
    <row r="34" spans="2:21" ht="13.8" thickBot="1" x14ac:dyDescent="0.3">
      <c r="B34" s="1520" t="s">
        <v>566</v>
      </c>
      <c r="C34" s="1521"/>
      <c r="D34" s="1521"/>
      <c r="E34" s="1521"/>
      <c r="F34" s="1521"/>
      <c r="G34" s="1521"/>
      <c r="H34" s="1521"/>
      <c r="I34" s="1521"/>
      <c r="J34" s="1521"/>
      <c r="K34" s="1522"/>
      <c r="L34" s="628">
        <f>SUM(L26:L33)</f>
        <v>0</v>
      </c>
      <c r="M34" s="1509">
        <f>SUM(M26:O33)</f>
        <v>1333200</v>
      </c>
      <c r="N34" s="1512"/>
      <c r="O34" s="1513"/>
      <c r="P34" s="1509">
        <f>SUM(P26:R33)</f>
        <v>944700</v>
      </c>
      <c r="Q34" s="1512"/>
      <c r="R34" s="1513"/>
    </row>
    <row r="35" spans="2:21" ht="13.5" customHeight="1" x14ac:dyDescent="0.25">
      <c r="B35" s="669" t="s">
        <v>612</v>
      </c>
      <c r="C35" s="1523" t="s">
        <v>613</v>
      </c>
      <c r="D35" s="1523"/>
      <c r="E35" s="1523"/>
      <c r="F35" s="667"/>
      <c r="G35" s="668"/>
      <c r="H35" s="667"/>
      <c r="I35" s="667"/>
      <c r="J35" s="1567"/>
      <c r="K35" s="1568"/>
      <c r="L35" s="666"/>
      <c r="M35" s="665"/>
      <c r="N35" s="664"/>
      <c r="O35" s="663"/>
      <c r="P35" s="665"/>
      <c r="Q35" s="664"/>
      <c r="R35" s="663"/>
    </row>
    <row r="36" spans="2:21" x14ac:dyDescent="0.25">
      <c r="B36" s="656" t="s">
        <v>614</v>
      </c>
      <c r="C36" s="1524" t="s">
        <v>570</v>
      </c>
      <c r="D36" s="1524"/>
      <c r="E36" s="1524"/>
      <c r="F36" s="661">
        <f>[15]ANALISA!D118</f>
        <v>15</v>
      </c>
      <c r="G36" s="662">
        <v>0</v>
      </c>
      <c r="H36" s="661">
        <f>F36-G36</f>
        <v>15</v>
      </c>
      <c r="I36" s="635" t="s">
        <v>319</v>
      </c>
      <c r="J36" s="1525">
        <f>'[15]DAFTAR HARGA'!E53</f>
        <v>125000</v>
      </c>
      <c r="K36" s="1526"/>
      <c r="L36" s="653">
        <f>G36*J36</f>
        <v>0</v>
      </c>
      <c r="M36" s="1514">
        <f>H36*J36</f>
        <v>1875000</v>
      </c>
      <c r="N36" s="1515"/>
      <c r="O36" s="1516"/>
      <c r="P36" s="1514">
        <f>M36</f>
        <v>1875000</v>
      </c>
      <c r="Q36" s="1515"/>
      <c r="R36" s="1516"/>
    </row>
    <row r="37" spans="2:21" x14ac:dyDescent="0.25">
      <c r="B37" s="659" t="s">
        <v>615</v>
      </c>
      <c r="C37" s="639" t="s">
        <v>568</v>
      </c>
      <c r="D37" s="639"/>
      <c r="E37" s="639"/>
      <c r="F37" s="658">
        <f>[15]ANALISA!D117</f>
        <v>90</v>
      </c>
      <c r="G37" s="637"/>
      <c r="H37" s="658">
        <f>F37</f>
        <v>90</v>
      </c>
      <c r="I37" s="635" t="s">
        <v>319</v>
      </c>
      <c r="J37" s="1560">
        <f>'[15]DAFTAR HARGA'!E52</f>
        <v>100000</v>
      </c>
      <c r="K37" s="1559"/>
      <c r="L37" s="653"/>
      <c r="M37" s="1514">
        <f>H37*J37</f>
        <v>9000000</v>
      </c>
      <c r="N37" s="1515"/>
      <c r="O37" s="1516"/>
      <c r="P37" s="1514">
        <f>M37</f>
        <v>9000000</v>
      </c>
      <c r="Q37" s="1515"/>
      <c r="R37" s="1516"/>
    </row>
    <row r="38" spans="2:21" ht="13.8" thickBot="1" x14ac:dyDescent="0.3">
      <c r="B38" s="656"/>
      <c r="C38" s="639"/>
      <c r="D38" s="639"/>
      <c r="E38" s="639"/>
      <c r="F38" s="655"/>
      <c r="G38" s="637"/>
      <c r="H38" s="655"/>
      <c r="I38" s="654"/>
      <c r="J38" s="1558"/>
      <c r="K38" s="1559"/>
      <c r="L38" s="653"/>
      <c r="M38" s="1514"/>
      <c r="N38" s="1515"/>
      <c r="O38" s="1516"/>
      <c r="P38" s="1514"/>
      <c r="Q38" s="1515"/>
      <c r="R38" s="1516"/>
    </row>
    <row r="39" spans="2:21" ht="13.5" customHeight="1" thickBot="1" x14ac:dyDescent="0.3">
      <c r="B39" s="1564" t="s">
        <v>571</v>
      </c>
      <c r="C39" s="1565"/>
      <c r="D39" s="1565"/>
      <c r="E39" s="1565"/>
      <c r="F39" s="1565"/>
      <c r="G39" s="1565"/>
      <c r="H39" s="1565"/>
      <c r="I39" s="1565"/>
      <c r="J39" s="1565"/>
      <c r="K39" s="1566"/>
      <c r="L39" s="628">
        <f>SUM(L36:L38)</f>
        <v>0</v>
      </c>
      <c r="M39" s="1509">
        <f>SUM(M36:O38)</f>
        <v>10875000</v>
      </c>
      <c r="N39" s="1510"/>
      <c r="O39" s="1511"/>
      <c r="P39" s="1509">
        <f>SUM(P36:R38)</f>
        <v>10875000</v>
      </c>
      <c r="Q39" s="1510"/>
      <c r="R39" s="1511"/>
    </row>
    <row r="40" spans="2:21" s="652" customFormat="1" x14ac:dyDescent="0.25">
      <c r="B40" s="640"/>
      <c r="C40" s="639"/>
      <c r="D40" s="639"/>
      <c r="E40" s="639"/>
      <c r="F40" s="638"/>
      <c r="G40" s="637"/>
      <c r="H40" s="636"/>
      <c r="I40" s="635"/>
      <c r="J40" s="1558"/>
      <c r="K40" s="1559"/>
      <c r="L40" s="632"/>
      <c r="M40" s="1514"/>
      <c r="N40" s="1515"/>
      <c r="O40" s="1516"/>
      <c r="P40" s="1514"/>
      <c r="Q40" s="1515"/>
      <c r="R40" s="1516"/>
    </row>
    <row r="41" spans="2:21" x14ac:dyDescent="0.25">
      <c r="B41" s="651" t="s">
        <v>616</v>
      </c>
      <c r="C41" s="650" t="s">
        <v>617</v>
      </c>
      <c r="D41" s="650"/>
      <c r="E41" s="650"/>
      <c r="F41" s="638"/>
      <c r="G41" s="649"/>
      <c r="H41" s="648"/>
      <c r="I41" s="647"/>
      <c r="J41" s="646"/>
      <c r="K41" s="645"/>
      <c r="L41" s="644"/>
      <c r="M41" s="643"/>
      <c r="N41" s="642"/>
      <c r="O41" s="641"/>
      <c r="P41" s="643"/>
      <c r="Q41" s="642"/>
      <c r="R41" s="641"/>
    </row>
    <row r="42" spans="2:21" ht="13.8" thickBot="1" x14ac:dyDescent="0.3">
      <c r="B42" s="640"/>
      <c r="C42" s="639" t="s">
        <v>618</v>
      </c>
      <c r="D42" s="639"/>
      <c r="E42" s="639"/>
      <c r="F42" s="638">
        <v>2</v>
      </c>
      <c r="G42" s="637"/>
      <c r="H42" s="636">
        <f>F42</f>
        <v>2</v>
      </c>
      <c r="I42" s="635" t="s">
        <v>580</v>
      </c>
      <c r="J42" s="1558">
        <f>'[15]DAFTAR HARGA'!N54</f>
        <v>200000</v>
      </c>
      <c r="K42" s="1559"/>
      <c r="L42" s="632"/>
      <c r="M42" s="1514">
        <f>H42*J42</f>
        <v>400000</v>
      </c>
      <c r="N42" s="1515"/>
      <c r="O42" s="1516"/>
      <c r="P42" s="1514"/>
      <c r="Q42" s="1515"/>
      <c r="R42" s="1516"/>
    </row>
    <row r="43" spans="2:21" ht="13.8" thickBot="1" x14ac:dyDescent="0.3">
      <c r="B43" s="1564" t="s">
        <v>581</v>
      </c>
      <c r="C43" s="1565"/>
      <c r="D43" s="1565"/>
      <c r="E43" s="1565"/>
      <c r="F43" s="1565"/>
      <c r="G43" s="1565"/>
      <c r="H43" s="1565"/>
      <c r="I43" s="1565"/>
      <c r="J43" s="1565"/>
      <c r="K43" s="1566"/>
      <c r="L43" s="628">
        <f>SUM(L40:L42)</f>
        <v>0</v>
      </c>
      <c r="M43" s="1509">
        <f>SUM(M40:O42)</f>
        <v>400000</v>
      </c>
      <c r="N43" s="1510"/>
      <c r="O43" s="1511"/>
      <c r="P43" s="1509">
        <f>SUM(P40:R42)</f>
        <v>0</v>
      </c>
      <c r="Q43" s="1510"/>
      <c r="R43" s="1511"/>
      <c r="S43" s="627"/>
      <c r="T43" s="619" t="s">
        <v>619</v>
      </c>
    </row>
    <row r="44" spans="2:21" ht="14.25" customHeight="1" thickBot="1" x14ac:dyDescent="0.3">
      <c r="B44" s="1562" t="s">
        <v>582</v>
      </c>
      <c r="C44" s="1563"/>
      <c r="D44" s="1563"/>
      <c r="E44" s="1563"/>
      <c r="F44" s="1563"/>
      <c r="G44" s="1563"/>
      <c r="H44" s="1563"/>
      <c r="I44" s="1563"/>
      <c r="J44" s="1563"/>
      <c r="K44" s="1563"/>
      <c r="L44" s="1561">
        <f>M43+M39+M34+M24</f>
        <v>34674100</v>
      </c>
      <c r="M44" s="1510"/>
      <c r="N44" s="1510"/>
      <c r="O44" s="1511"/>
      <c r="P44" s="626"/>
      <c r="Q44" s="625"/>
      <c r="R44" s="624"/>
      <c r="T44" s="619">
        <f>M39/L44*100</f>
        <v>31.363467256540183</v>
      </c>
      <c r="U44" s="619" t="s">
        <v>620</v>
      </c>
    </row>
    <row r="45" spans="2:21" ht="14.25" hidden="1" customHeight="1" x14ac:dyDescent="0.25">
      <c r="B45" s="623" t="s">
        <v>621</v>
      </c>
      <c r="C45" s="623"/>
    </row>
    <row r="46" spans="2:21" ht="9.75" hidden="1" customHeight="1" x14ac:dyDescent="0.25">
      <c r="B46" s="620" t="s">
        <v>604</v>
      </c>
      <c r="C46" s="619" t="s">
        <v>622</v>
      </c>
    </row>
    <row r="47" spans="2:21" ht="9.75" hidden="1" customHeight="1" x14ac:dyDescent="0.25">
      <c r="B47" s="620" t="s">
        <v>609</v>
      </c>
      <c r="C47" s="619" t="s">
        <v>623</v>
      </c>
    </row>
    <row r="48" spans="2:21" ht="9.75" hidden="1" customHeight="1" x14ac:dyDescent="0.25">
      <c r="B48" s="620" t="s">
        <v>612</v>
      </c>
      <c r="C48" s="619" t="s">
        <v>624</v>
      </c>
    </row>
    <row r="49" spans="2:20" ht="9.75" hidden="1" customHeight="1" x14ac:dyDescent="0.25">
      <c r="C49" s="619"/>
    </row>
    <row r="50" spans="2:20" ht="9.75" hidden="1" customHeight="1" x14ac:dyDescent="0.25">
      <c r="B50" s="623" t="s">
        <v>625</v>
      </c>
    </row>
    <row r="51" spans="2:20" ht="9.75" hidden="1" customHeight="1" x14ac:dyDescent="0.25">
      <c r="B51" s="623" t="s">
        <v>626</v>
      </c>
      <c r="C51" s="623" t="s">
        <v>627</v>
      </c>
    </row>
    <row r="52" spans="2:20" ht="9.75" hidden="1" customHeight="1" x14ac:dyDescent="0.25">
      <c r="B52" s="623" t="s">
        <v>628</v>
      </c>
      <c r="C52" s="623" t="s">
        <v>629</v>
      </c>
    </row>
    <row r="53" spans="2:20" ht="9.75" hidden="1" customHeight="1" x14ac:dyDescent="0.25">
      <c r="B53" s="623"/>
      <c r="C53" s="623"/>
    </row>
    <row r="54" spans="2:20" ht="9.75" hidden="1" customHeight="1" x14ac:dyDescent="0.25">
      <c r="B54" s="623" t="s">
        <v>630</v>
      </c>
      <c r="C54" s="623" t="s">
        <v>631</v>
      </c>
    </row>
    <row r="55" spans="2:20" ht="9.75" hidden="1" customHeight="1" x14ac:dyDescent="0.25">
      <c r="B55" s="623" t="s">
        <v>632</v>
      </c>
      <c r="C55" s="623" t="s">
        <v>633</v>
      </c>
    </row>
    <row r="56" spans="2:20" ht="9.75" hidden="1" customHeight="1" x14ac:dyDescent="0.25">
      <c r="B56" s="623"/>
      <c r="C56" s="623"/>
    </row>
    <row r="57" spans="2:20" ht="9.75" hidden="1" customHeight="1" x14ac:dyDescent="0.25">
      <c r="B57" s="623" t="s">
        <v>634</v>
      </c>
      <c r="C57" s="623" t="s">
        <v>635</v>
      </c>
    </row>
    <row r="58" spans="2:20" hidden="1" x14ac:dyDescent="0.25">
      <c r="B58" s="623" t="s">
        <v>636</v>
      </c>
      <c r="C58" s="623" t="s">
        <v>637</v>
      </c>
    </row>
    <row r="59" spans="2:20" s="622" customFormat="1" x14ac:dyDescent="0.25">
      <c r="B59" s="623"/>
      <c r="C59" s="623"/>
      <c r="D59" s="620"/>
      <c r="E59" s="619"/>
      <c r="F59" s="619"/>
      <c r="G59" s="619"/>
      <c r="H59" s="619"/>
      <c r="I59" s="619"/>
      <c r="J59" s="619"/>
      <c r="K59" s="619"/>
      <c r="L59" s="619"/>
      <c r="M59" s="619"/>
      <c r="N59" s="619"/>
      <c r="O59" s="619"/>
      <c r="P59" s="619"/>
      <c r="Q59" s="619"/>
      <c r="R59" s="619"/>
    </row>
    <row r="60" spans="2:20" x14ac:dyDescent="0.25">
      <c r="B60" s="1571" t="s">
        <v>638</v>
      </c>
      <c r="C60" s="1571"/>
      <c r="D60" s="1571"/>
      <c r="E60" s="1571"/>
      <c r="F60" s="1571"/>
      <c r="K60" s="1571" t="s">
        <v>639</v>
      </c>
      <c r="L60" s="1571"/>
      <c r="M60" s="1571"/>
      <c r="N60" s="1571"/>
      <c r="O60" s="1571"/>
      <c r="T60" s="621"/>
    </row>
    <row r="61" spans="2:20" x14ac:dyDescent="0.25">
      <c r="B61" s="1571" t="s">
        <v>640</v>
      </c>
      <c r="C61" s="1571"/>
      <c r="D61" s="1571"/>
      <c r="E61" s="1571"/>
      <c r="F61" s="1571"/>
      <c r="J61" s="1571" t="s">
        <v>641</v>
      </c>
      <c r="K61" s="1571"/>
      <c r="L61" s="1571"/>
      <c r="M61" s="1571"/>
      <c r="N61" s="1571"/>
      <c r="O61" s="1571"/>
      <c r="P61" s="1571"/>
    </row>
    <row r="65" spans="2:15" ht="16.8" x14ac:dyDescent="0.55000000000000004">
      <c r="B65" s="1572"/>
      <c r="C65" s="1572"/>
      <c r="D65" s="1572"/>
      <c r="E65" s="1572"/>
      <c r="F65" s="1572"/>
      <c r="K65" s="1572"/>
      <c r="L65" s="1572"/>
      <c r="M65" s="1572"/>
      <c r="N65" s="1572"/>
      <c r="O65" s="1572"/>
    </row>
  </sheetData>
  <mergeCells count="89">
    <mergeCell ref="B4:R4"/>
    <mergeCell ref="F13:H13"/>
    <mergeCell ref="J42:K42"/>
    <mergeCell ref="M42:O42"/>
    <mergeCell ref="J37:K37"/>
    <mergeCell ref="J23:K23"/>
    <mergeCell ref="J27:K27"/>
    <mergeCell ref="M27:O27"/>
    <mergeCell ref="M28:O28"/>
    <mergeCell ref="M18:O18"/>
    <mergeCell ref="J40:K40"/>
    <mergeCell ref="M34:O34"/>
    <mergeCell ref="J35:K35"/>
    <mergeCell ref="B39:K39"/>
    <mergeCell ref="J31:K31"/>
    <mergeCell ref="M39:O39"/>
    <mergeCell ref="B61:F61"/>
    <mergeCell ref="B65:F65"/>
    <mergeCell ref="K65:O65"/>
    <mergeCell ref="J61:P61"/>
    <mergeCell ref="B60:F60"/>
    <mergeCell ref="K60:O60"/>
    <mergeCell ref="L44:O44"/>
    <mergeCell ref="B44:K44"/>
    <mergeCell ref="B43:K43"/>
    <mergeCell ref="M16:O16"/>
    <mergeCell ref="J25:K25"/>
    <mergeCell ref="J26:K26"/>
    <mergeCell ref="M38:O38"/>
    <mergeCell ref="B24:K24"/>
    <mergeCell ref="M43:O43"/>
    <mergeCell ref="J38:K38"/>
    <mergeCell ref="J33:K33"/>
    <mergeCell ref="M33:O33"/>
    <mergeCell ref="C15:E15"/>
    <mergeCell ref="J15:K15"/>
    <mergeCell ref="C25:E25"/>
    <mergeCell ref="J20:K20"/>
    <mergeCell ref="J18:K18"/>
    <mergeCell ref="J22:K22"/>
    <mergeCell ref="J19:K19"/>
    <mergeCell ref="L11:L12"/>
    <mergeCell ref="J14:K14"/>
    <mergeCell ref="C13:E13"/>
    <mergeCell ref="J13:K13"/>
    <mergeCell ref="C14:E14"/>
    <mergeCell ref="B11:E12"/>
    <mergeCell ref="I11:I12"/>
    <mergeCell ref="J11:K12"/>
    <mergeCell ref="F11:H11"/>
    <mergeCell ref="P11:R12"/>
    <mergeCell ref="P13:R13"/>
    <mergeCell ref="P15:R15"/>
    <mergeCell ref="P18:R18"/>
    <mergeCell ref="M22:O22"/>
    <mergeCell ref="M19:O19"/>
    <mergeCell ref="M11:O12"/>
    <mergeCell ref="M15:O15"/>
    <mergeCell ref="M13:O13"/>
    <mergeCell ref="M17:O17"/>
    <mergeCell ref="M40:O40"/>
    <mergeCell ref="M31:O31"/>
    <mergeCell ref="C35:E35"/>
    <mergeCell ref="C36:E36"/>
    <mergeCell ref="J36:K36"/>
    <mergeCell ref="M36:O36"/>
    <mergeCell ref="M37:O37"/>
    <mergeCell ref="B34:K34"/>
    <mergeCell ref="M20:O20"/>
    <mergeCell ref="M26:O26"/>
    <mergeCell ref="P20:R20"/>
    <mergeCell ref="P39:R39"/>
    <mergeCell ref="M24:O24"/>
    <mergeCell ref="P36:R36"/>
    <mergeCell ref="P24:R24"/>
    <mergeCell ref="P26:R26"/>
    <mergeCell ref="P27:R27"/>
    <mergeCell ref="P33:R33"/>
    <mergeCell ref="M23:O23"/>
    <mergeCell ref="P31:R31"/>
    <mergeCell ref="M29:O29"/>
    <mergeCell ref="M30:O30"/>
    <mergeCell ref="M32:O32"/>
    <mergeCell ref="P43:R43"/>
    <mergeCell ref="P34:R34"/>
    <mergeCell ref="P42:R42"/>
    <mergeCell ref="P38:R38"/>
    <mergeCell ref="P37:R37"/>
    <mergeCell ref="P40:R40"/>
  </mergeCells>
  <printOptions horizontalCentered="1"/>
  <pageMargins left="0.35" right="0.3" top="0.25" bottom="0.18" header="0.5" footer="0.5"/>
  <pageSetup paperSize="9" scale="90" orientation="portrait" horizontalDpi="4294967293" verticalDpi="4294967293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8276-DCBC-4068-8389-71E762341F8D}">
  <sheetPr>
    <tabColor rgb="FF00B0F0"/>
  </sheetPr>
  <dimension ref="A2:U62"/>
  <sheetViews>
    <sheetView zoomScaleNormal="100" zoomScaleSheetLayoutView="100" workbookViewId="0">
      <selection activeCell="S2" sqref="S2:S3"/>
    </sheetView>
  </sheetViews>
  <sheetFormatPr defaultRowHeight="13.2" x14ac:dyDescent="0.25"/>
  <cols>
    <col min="1" max="1" width="2" style="619" customWidth="1"/>
    <col min="2" max="2" width="5.44140625" style="620" customWidth="1"/>
    <col min="3" max="3" width="9.109375" style="620" customWidth="1"/>
    <col min="4" max="4" width="3.44140625" style="620" customWidth="1"/>
    <col min="5" max="5" width="18.44140625" style="619" customWidth="1"/>
    <col min="6" max="9" width="9.109375" style="619" customWidth="1"/>
    <col min="10" max="10" width="16.44140625" style="619" customWidth="1"/>
    <col min="11" max="11" width="11.109375" style="619" customWidth="1"/>
    <col min="12" max="12" width="0.109375" style="619" customWidth="1"/>
    <col min="13" max="13" width="8" style="619" customWidth="1"/>
    <col min="14" max="14" width="4.44140625" style="619" customWidth="1"/>
    <col min="15" max="15" width="13.109375" style="619" customWidth="1"/>
    <col min="16" max="16" width="4.77734375" style="619" hidden="1" customWidth="1"/>
    <col min="17" max="17" width="7" style="619" hidden="1" customWidth="1"/>
    <col min="18" max="18" width="5.109375" style="619" hidden="1" customWidth="1"/>
    <col min="19" max="19" width="13" style="619" bestFit="1" customWidth="1"/>
    <col min="20" max="21" width="13.109375" style="619" bestFit="1" customWidth="1"/>
    <col min="22" max="22" width="9.33203125" style="619"/>
    <col min="23" max="23" width="13.109375" style="619" bestFit="1" customWidth="1"/>
    <col min="24" max="24" width="12" style="619" bestFit="1" customWidth="1"/>
    <col min="25" max="256" width="9.33203125" style="619"/>
    <col min="257" max="257" width="2" style="619" customWidth="1"/>
    <col min="258" max="258" width="5.44140625" style="619" customWidth="1"/>
    <col min="259" max="259" width="9.109375" style="619" customWidth="1"/>
    <col min="260" max="260" width="3.44140625" style="619" customWidth="1"/>
    <col min="261" max="261" width="18.44140625" style="619" customWidth="1"/>
    <col min="262" max="265" width="9.109375" style="619" customWidth="1"/>
    <col min="266" max="266" width="16.44140625" style="619" customWidth="1"/>
    <col min="267" max="267" width="11.109375" style="619" customWidth="1"/>
    <col min="268" max="268" width="0.109375" style="619" customWidth="1"/>
    <col min="269" max="269" width="8" style="619" customWidth="1"/>
    <col min="270" max="270" width="4.44140625" style="619" customWidth="1"/>
    <col min="271" max="271" width="13.109375" style="619" customWidth="1"/>
    <col min="272" max="274" width="0" style="619" hidden="1" customWidth="1"/>
    <col min="275" max="275" width="13" style="619" bestFit="1" customWidth="1"/>
    <col min="276" max="277" width="13.109375" style="619" bestFit="1" customWidth="1"/>
    <col min="278" max="278" width="9.33203125" style="619"/>
    <col min="279" max="279" width="13.109375" style="619" bestFit="1" customWidth="1"/>
    <col min="280" max="280" width="12" style="619" bestFit="1" customWidth="1"/>
    <col min="281" max="512" width="9.33203125" style="619"/>
    <col min="513" max="513" width="2" style="619" customWidth="1"/>
    <col min="514" max="514" width="5.44140625" style="619" customWidth="1"/>
    <col min="515" max="515" width="9.109375" style="619" customWidth="1"/>
    <col min="516" max="516" width="3.44140625" style="619" customWidth="1"/>
    <col min="517" max="517" width="18.44140625" style="619" customWidth="1"/>
    <col min="518" max="521" width="9.109375" style="619" customWidth="1"/>
    <col min="522" max="522" width="16.44140625" style="619" customWidth="1"/>
    <col min="523" max="523" width="11.109375" style="619" customWidth="1"/>
    <col min="524" max="524" width="0.109375" style="619" customWidth="1"/>
    <col min="525" max="525" width="8" style="619" customWidth="1"/>
    <col min="526" max="526" width="4.44140625" style="619" customWidth="1"/>
    <col min="527" max="527" width="13.109375" style="619" customWidth="1"/>
    <col min="528" max="530" width="0" style="619" hidden="1" customWidth="1"/>
    <col min="531" max="531" width="13" style="619" bestFit="1" customWidth="1"/>
    <col min="532" max="533" width="13.109375" style="619" bestFit="1" customWidth="1"/>
    <col min="534" max="534" width="9.33203125" style="619"/>
    <col min="535" max="535" width="13.109375" style="619" bestFit="1" customWidth="1"/>
    <col min="536" max="536" width="12" style="619" bestFit="1" customWidth="1"/>
    <col min="537" max="768" width="9.33203125" style="619"/>
    <col min="769" max="769" width="2" style="619" customWidth="1"/>
    <col min="770" max="770" width="5.44140625" style="619" customWidth="1"/>
    <col min="771" max="771" width="9.109375" style="619" customWidth="1"/>
    <col min="772" max="772" width="3.44140625" style="619" customWidth="1"/>
    <col min="773" max="773" width="18.44140625" style="619" customWidth="1"/>
    <col min="774" max="777" width="9.109375" style="619" customWidth="1"/>
    <col min="778" max="778" width="16.44140625" style="619" customWidth="1"/>
    <col min="779" max="779" width="11.109375" style="619" customWidth="1"/>
    <col min="780" max="780" width="0.109375" style="619" customWidth="1"/>
    <col min="781" max="781" width="8" style="619" customWidth="1"/>
    <col min="782" max="782" width="4.44140625" style="619" customWidth="1"/>
    <col min="783" max="783" width="13.109375" style="619" customWidth="1"/>
    <col min="784" max="786" width="0" style="619" hidden="1" customWidth="1"/>
    <col min="787" max="787" width="13" style="619" bestFit="1" customWidth="1"/>
    <col min="788" max="789" width="13.109375" style="619" bestFit="1" customWidth="1"/>
    <col min="790" max="790" width="9.33203125" style="619"/>
    <col min="791" max="791" width="13.109375" style="619" bestFit="1" customWidth="1"/>
    <col min="792" max="792" width="12" style="619" bestFit="1" customWidth="1"/>
    <col min="793" max="1024" width="9.33203125" style="619"/>
    <col min="1025" max="1025" width="2" style="619" customWidth="1"/>
    <col min="1026" max="1026" width="5.44140625" style="619" customWidth="1"/>
    <col min="1027" max="1027" width="9.109375" style="619" customWidth="1"/>
    <col min="1028" max="1028" width="3.44140625" style="619" customWidth="1"/>
    <col min="1029" max="1029" width="18.44140625" style="619" customWidth="1"/>
    <col min="1030" max="1033" width="9.109375" style="619" customWidth="1"/>
    <col min="1034" max="1034" width="16.44140625" style="619" customWidth="1"/>
    <col min="1035" max="1035" width="11.109375" style="619" customWidth="1"/>
    <col min="1036" max="1036" width="0.109375" style="619" customWidth="1"/>
    <col min="1037" max="1037" width="8" style="619" customWidth="1"/>
    <col min="1038" max="1038" width="4.44140625" style="619" customWidth="1"/>
    <col min="1039" max="1039" width="13.109375" style="619" customWidth="1"/>
    <col min="1040" max="1042" width="0" style="619" hidden="1" customWidth="1"/>
    <col min="1043" max="1043" width="13" style="619" bestFit="1" customWidth="1"/>
    <col min="1044" max="1045" width="13.109375" style="619" bestFit="1" customWidth="1"/>
    <col min="1046" max="1046" width="9.33203125" style="619"/>
    <col min="1047" max="1047" width="13.109375" style="619" bestFit="1" customWidth="1"/>
    <col min="1048" max="1048" width="12" style="619" bestFit="1" customWidth="1"/>
    <col min="1049" max="1280" width="9.33203125" style="619"/>
    <col min="1281" max="1281" width="2" style="619" customWidth="1"/>
    <col min="1282" max="1282" width="5.44140625" style="619" customWidth="1"/>
    <col min="1283" max="1283" width="9.109375" style="619" customWidth="1"/>
    <col min="1284" max="1284" width="3.44140625" style="619" customWidth="1"/>
    <col min="1285" max="1285" width="18.44140625" style="619" customWidth="1"/>
    <col min="1286" max="1289" width="9.109375" style="619" customWidth="1"/>
    <col min="1290" max="1290" width="16.44140625" style="619" customWidth="1"/>
    <col min="1291" max="1291" width="11.109375" style="619" customWidth="1"/>
    <col min="1292" max="1292" width="0.109375" style="619" customWidth="1"/>
    <col min="1293" max="1293" width="8" style="619" customWidth="1"/>
    <col min="1294" max="1294" width="4.44140625" style="619" customWidth="1"/>
    <col min="1295" max="1295" width="13.109375" style="619" customWidth="1"/>
    <col min="1296" max="1298" width="0" style="619" hidden="1" customWidth="1"/>
    <col min="1299" max="1299" width="13" style="619" bestFit="1" customWidth="1"/>
    <col min="1300" max="1301" width="13.109375" style="619" bestFit="1" customWidth="1"/>
    <col min="1302" max="1302" width="9.33203125" style="619"/>
    <col min="1303" max="1303" width="13.109375" style="619" bestFit="1" customWidth="1"/>
    <col min="1304" max="1304" width="12" style="619" bestFit="1" customWidth="1"/>
    <col min="1305" max="1536" width="9.33203125" style="619"/>
    <col min="1537" max="1537" width="2" style="619" customWidth="1"/>
    <col min="1538" max="1538" width="5.44140625" style="619" customWidth="1"/>
    <col min="1539" max="1539" width="9.109375" style="619" customWidth="1"/>
    <col min="1540" max="1540" width="3.44140625" style="619" customWidth="1"/>
    <col min="1541" max="1541" width="18.44140625" style="619" customWidth="1"/>
    <col min="1542" max="1545" width="9.109375" style="619" customWidth="1"/>
    <col min="1546" max="1546" width="16.44140625" style="619" customWidth="1"/>
    <col min="1547" max="1547" width="11.109375" style="619" customWidth="1"/>
    <col min="1548" max="1548" width="0.109375" style="619" customWidth="1"/>
    <col min="1549" max="1549" width="8" style="619" customWidth="1"/>
    <col min="1550" max="1550" width="4.44140625" style="619" customWidth="1"/>
    <col min="1551" max="1551" width="13.109375" style="619" customWidth="1"/>
    <col min="1552" max="1554" width="0" style="619" hidden="1" customWidth="1"/>
    <col min="1555" max="1555" width="13" style="619" bestFit="1" customWidth="1"/>
    <col min="1556" max="1557" width="13.109375" style="619" bestFit="1" customWidth="1"/>
    <col min="1558" max="1558" width="9.33203125" style="619"/>
    <col min="1559" max="1559" width="13.109375" style="619" bestFit="1" customWidth="1"/>
    <col min="1560" max="1560" width="12" style="619" bestFit="1" customWidth="1"/>
    <col min="1561" max="1792" width="9.33203125" style="619"/>
    <col min="1793" max="1793" width="2" style="619" customWidth="1"/>
    <col min="1794" max="1794" width="5.44140625" style="619" customWidth="1"/>
    <col min="1795" max="1795" width="9.109375" style="619" customWidth="1"/>
    <col min="1796" max="1796" width="3.44140625" style="619" customWidth="1"/>
    <col min="1797" max="1797" width="18.44140625" style="619" customWidth="1"/>
    <col min="1798" max="1801" width="9.109375" style="619" customWidth="1"/>
    <col min="1802" max="1802" width="16.44140625" style="619" customWidth="1"/>
    <col min="1803" max="1803" width="11.109375" style="619" customWidth="1"/>
    <col min="1804" max="1804" width="0.109375" style="619" customWidth="1"/>
    <col min="1805" max="1805" width="8" style="619" customWidth="1"/>
    <col min="1806" max="1806" width="4.44140625" style="619" customWidth="1"/>
    <col min="1807" max="1807" width="13.109375" style="619" customWidth="1"/>
    <col min="1808" max="1810" width="0" style="619" hidden="1" customWidth="1"/>
    <col min="1811" max="1811" width="13" style="619" bestFit="1" customWidth="1"/>
    <col min="1812" max="1813" width="13.109375" style="619" bestFit="1" customWidth="1"/>
    <col min="1814" max="1814" width="9.33203125" style="619"/>
    <col min="1815" max="1815" width="13.109375" style="619" bestFit="1" customWidth="1"/>
    <col min="1816" max="1816" width="12" style="619" bestFit="1" customWidth="1"/>
    <col min="1817" max="2048" width="9.33203125" style="619"/>
    <col min="2049" max="2049" width="2" style="619" customWidth="1"/>
    <col min="2050" max="2050" width="5.44140625" style="619" customWidth="1"/>
    <col min="2051" max="2051" width="9.109375" style="619" customWidth="1"/>
    <col min="2052" max="2052" width="3.44140625" style="619" customWidth="1"/>
    <col min="2053" max="2053" width="18.44140625" style="619" customWidth="1"/>
    <col min="2054" max="2057" width="9.109375" style="619" customWidth="1"/>
    <col min="2058" max="2058" width="16.44140625" style="619" customWidth="1"/>
    <col min="2059" max="2059" width="11.109375" style="619" customWidth="1"/>
    <col min="2060" max="2060" width="0.109375" style="619" customWidth="1"/>
    <col min="2061" max="2061" width="8" style="619" customWidth="1"/>
    <col min="2062" max="2062" width="4.44140625" style="619" customWidth="1"/>
    <col min="2063" max="2063" width="13.109375" style="619" customWidth="1"/>
    <col min="2064" max="2066" width="0" style="619" hidden="1" customWidth="1"/>
    <col min="2067" max="2067" width="13" style="619" bestFit="1" customWidth="1"/>
    <col min="2068" max="2069" width="13.109375" style="619" bestFit="1" customWidth="1"/>
    <col min="2070" max="2070" width="9.33203125" style="619"/>
    <col min="2071" max="2071" width="13.109375" style="619" bestFit="1" customWidth="1"/>
    <col min="2072" max="2072" width="12" style="619" bestFit="1" customWidth="1"/>
    <col min="2073" max="2304" width="9.33203125" style="619"/>
    <col min="2305" max="2305" width="2" style="619" customWidth="1"/>
    <col min="2306" max="2306" width="5.44140625" style="619" customWidth="1"/>
    <col min="2307" max="2307" width="9.109375" style="619" customWidth="1"/>
    <col min="2308" max="2308" width="3.44140625" style="619" customWidth="1"/>
    <col min="2309" max="2309" width="18.44140625" style="619" customWidth="1"/>
    <col min="2310" max="2313" width="9.109375" style="619" customWidth="1"/>
    <col min="2314" max="2314" width="16.44140625" style="619" customWidth="1"/>
    <col min="2315" max="2315" width="11.109375" style="619" customWidth="1"/>
    <col min="2316" max="2316" width="0.109375" style="619" customWidth="1"/>
    <col min="2317" max="2317" width="8" style="619" customWidth="1"/>
    <col min="2318" max="2318" width="4.44140625" style="619" customWidth="1"/>
    <col min="2319" max="2319" width="13.109375" style="619" customWidth="1"/>
    <col min="2320" max="2322" width="0" style="619" hidden="1" customWidth="1"/>
    <col min="2323" max="2323" width="13" style="619" bestFit="1" customWidth="1"/>
    <col min="2324" max="2325" width="13.109375" style="619" bestFit="1" customWidth="1"/>
    <col min="2326" max="2326" width="9.33203125" style="619"/>
    <col min="2327" max="2327" width="13.109375" style="619" bestFit="1" customWidth="1"/>
    <col min="2328" max="2328" width="12" style="619" bestFit="1" customWidth="1"/>
    <col min="2329" max="2560" width="9.33203125" style="619"/>
    <col min="2561" max="2561" width="2" style="619" customWidth="1"/>
    <col min="2562" max="2562" width="5.44140625" style="619" customWidth="1"/>
    <col min="2563" max="2563" width="9.109375" style="619" customWidth="1"/>
    <col min="2564" max="2564" width="3.44140625" style="619" customWidth="1"/>
    <col min="2565" max="2565" width="18.44140625" style="619" customWidth="1"/>
    <col min="2566" max="2569" width="9.109375" style="619" customWidth="1"/>
    <col min="2570" max="2570" width="16.44140625" style="619" customWidth="1"/>
    <col min="2571" max="2571" width="11.109375" style="619" customWidth="1"/>
    <col min="2572" max="2572" width="0.109375" style="619" customWidth="1"/>
    <col min="2573" max="2573" width="8" style="619" customWidth="1"/>
    <col min="2574" max="2574" width="4.44140625" style="619" customWidth="1"/>
    <col min="2575" max="2575" width="13.109375" style="619" customWidth="1"/>
    <col min="2576" max="2578" width="0" style="619" hidden="1" customWidth="1"/>
    <col min="2579" max="2579" width="13" style="619" bestFit="1" customWidth="1"/>
    <col min="2580" max="2581" width="13.109375" style="619" bestFit="1" customWidth="1"/>
    <col min="2582" max="2582" width="9.33203125" style="619"/>
    <col min="2583" max="2583" width="13.109375" style="619" bestFit="1" customWidth="1"/>
    <col min="2584" max="2584" width="12" style="619" bestFit="1" customWidth="1"/>
    <col min="2585" max="2816" width="9.33203125" style="619"/>
    <col min="2817" max="2817" width="2" style="619" customWidth="1"/>
    <col min="2818" max="2818" width="5.44140625" style="619" customWidth="1"/>
    <col min="2819" max="2819" width="9.109375" style="619" customWidth="1"/>
    <col min="2820" max="2820" width="3.44140625" style="619" customWidth="1"/>
    <col min="2821" max="2821" width="18.44140625" style="619" customWidth="1"/>
    <col min="2822" max="2825" width="9.109375" style="619" customWidth="1"/>
    <col min="2826" max="2826" width="16.44140625" style="619" customWidth="1"/>
    <col min="2827" max="2827" width="11.109375" style="619" customWidth="1"/>
    <col min="2828" max="2828" width="0.109375" style="619" customWidth="1"/>
    <col min="2829" max="2829" width="8" style="619" customWidth="1"/>
    <col min="2830" max="2830" width="4.44140625" style="619" customWidth="1"/>
    <col min="2831" max="2831" width="13.109375" style="619" customWidth="1"/>
    <col min="2832" max="2834" width="0" style="619" hidden="1" customWidth="1"/>
    <col min="2835" max="2835" width="13" style="619" bestFit="1" customWidth="1"/>
    <col min="2836" max="2837" width="13.109375" style="619" bestFit="1" customWidth="1"/>
    <col min="2838" max="2838" width="9.33203125" style="619"/>
    <col min="2839" max="2839" width="13.109375" style="619" bestFit="1" customWidth="1"/>
    <col min="2840" max="2840" width="12" style="619" bestFit="1" customWidth="1"/>
    <col min="2841" max="3072" width="9.33203125" style="619"/>
    <col min="3073" max="3073" width="2" style="619" customWidth="1"/>
    <col min="3074" max="3074" width="5.44140625" style="619" customWidth="1"/>
    <col min="3075" max="3075" width="9.109375" style="619" customWidth="1"/>
    <col min="3076" max="3076" width="3.44140625" style="619" customWidth="1"/>
    <col min="3077" max="3077" width="18.44140625" style="619" customWidth="1"/>
    <col min="3078" max="3081" width="9.109375" style="619" customWidth="1"/>
    <col min="3082" max="3082" width="16.44140625" style="619" customWidth="1"/>
    <col min="3083" max="3083" width="11.109375" style="619" customWidth="1"/>
    <col min="3084" max="3084" width="0.109375" style="619" customWidth="1"/>
    <col min="3085" max="3085" width="8" style="619" customWidth="1"/>
    <col min="3086" max="3086" width="4.44140625" style="619" customWidth="1"/>
    <col min="3087" max="3087" width="13.109375" style="619" customWidth="1"/>
    <col min="3088" max="3090" width="0" style="619" hidden="1" customWidth="1"/>
    <col min="3091" max="3091" width="13" style="619" bestFit="1" customWidth="1"/>
    <col min="3092" max="3093" width="13.109375" style="619" bestFit="1" customWidth="1"/>
    <col min="3094" max="3094" width="9.33203125" style="619"/>
    <col min="3095" max="3095" width="13.109375" style="619" bestFit="1" customWidth="1"/>
    <col min="3096" max="3096" width="12" style="619" bestFit="1" customWidth="1"/>
    <col min="3097" max="3328" width="9.33203125" style="619"/>
    <col min="3329" max="3329" width="2" style="619" customWidth="1"/>
    <col min="3330" max="3330" width="5.44140625" style="619" customWidth="1"/>
    <col min="3331" max="3331" width="9.109375" style="619" customWidth="1"/>
    <col min="3332" max="3332" width="3.44140625" style="619" customWidth="1"/>
    <col min="3333" max="3333" width="18.44140625" style="619" customWidth="1"/>
    <col min="3334" max="3337" width="9.109375" style="619" customWidth="1"/>
    <col min="3338" max="3338" width="16.44140625" style="619" customWidth="1"/>
    <col min="3339" max="3339" width="11.109375" style="619" customWidth="1"/>
    <col min="3340" max="3340" width="0.109375" style="619" customWidth="1"/>
    <col min="3341" max="3341" width="8" style="619" customWidth="1"/>
    <col min="3342" max="3342" width="4.44140625" style="619" customWidth="1"/>
    <col min="3343" max="3343" width="13.109375" style="619" customWidth="1"/>
    <col min="3344" max="3346" width="0" style="619" hidden="1" customWidth="1"/>
    <col min="3347" max="3347" width="13" style="619" bestFit="1" customWidth="1"/>
    <col min="3348" max="3349" width="13.109375" style="619" bestFit="1" customWidth="1"/>
    <col min="3350" max="3350" width="9.33203125" style="619"/>
    <col min="3351" max="3351" width="13.109375" style="619" bestFit="1" customWidth="1"/>
    <col min="3352" max="3352" width="12" style="619" bestFit="1" customWidth="1"/>
    <col min="3353" max="3584" width="9.33203125" style="619"/>
    <col min="3585" max="3585" width="2" style="619" customWidth="1"/>
    <col min="3586" max="3586" width="5.44140625" style="619" customWidth="1"/>
    <col min="3587" max="3587" width="9.109375" style="619" customWidth="1"/>
    <col min="3588" max="3588" width="3.44140625" style="619" customWidth="1"/>
    <col min="3589" max="3589" width="18.44140625" style="619" customWidth="1"/>
    <col min="3590" max="3593" width="9.109375" style="619" customWidth="1"/>
    <col min="3594" max="3594" width="16.44140625" style="619" customWidth="1"/>
    <col min="3595" max="3595" width="11.109375" style="619" customWidth="1"/>
    <col min="3596" max="3596" width="0.109375" style="619" customWidth="1"/>
    <col min="3597" max="3597" width="8" style="619" customWidth="1"/>
    <col min="3598" max="3598" width="4.44140625" style="619" customWidth="1"/>
    <col min="3599" max="3599" width="13.109375" style="619" customWidth="1"/>
    <col min="3600" max="3602" width="0" style="619" hidden="1" customWidth="1"/>
    <col min="3603" max="3603" width="13" style="619" bestFit="1" customWidth="1"/>
    <col min="3604" max="3605" width="13.109375" style="619" bestFit="1" customWidth="1"/>
    <col min="3606" max="3606" width="9.33203125" style="619"/>
    <col min="3607" max="3607" width="13.109375" style="619" bestFit="1" customWidth="1"/>
    <col min="3608" max="3608" width="12" style="619" bestFit="1" customWidth="1"/>
    <col min="3609" max="3840" width="9.33203125" style="619"/>
    <col min="3841" max="3841" width="2" style="619" customWidth="1"/>
    <col min="3842" max="3842" width="5.44140625" style="619" customWidth="1"/>
    <col min="3843" max="3843" width="9.109375" style="619" customWidth="1"/>
    <col min="3844" max="3844" width="3.44140625" style="619" customWidth="1"/>
    <col min="3845" max="3845" width="18.44140625" style="619" customWidth="1"/>
    <col min="3846" max="3849" width="9.109375" style="619" customWidth="1"/>
    <col min="3850" max="3850" width="16.44140625" style="619" customWidth="1"/>
    <col min="3851" max="3851" width="11.109375" style="619" customWidth="1"/>
    <col min="3852" max="3852" width="0.109375" style="619" customWidth="1"/>
    <col min="3853" max="3853" width="8" style="619" customWidth="1"/>
    <col min="3854" max="3854" width="4.44140625" style="619" customWidth="1"/>
    <col min="3855" max="3855" width="13.109375" style="619" customWidth="1"/>
    <col min="3856" max="3858" width="0" style="619" hidden="1" customWidth="1"/>
    <col min="3859" max="3859" width="13" style="619" bestFit="1" customWidth="1"/>
    <col min="3860" max="3861" width="13.109375" style="619" bestFit="1" customWidth="1"/>
    <col min="3862" max="3862" width="9.33203125" style="619"/>
    <col min="3863" max="3863" width="13.109375" style="619" bestFit="1" customWidth="1"/>
    <col min="3864" max="3864" width="12" style="619" bestFit="1" customWidth="1"/>
    <col min="3865" max="4096" width="9.33203125" style="619"/>
    <col min="4097" max="4097" width="2" style="619" customWidth="1"/>
    <col min="4098" max="4098" width="5.44140625" style="619" customWidth="1"/>
    <col min="4099" max="4099" width="9.109375" style="619" customWidth="1"/>
    <col min="4100" max="4100" width="3.44140625" style="619" customWidth="1"/>
    <col min="4101" max="4101" width="18.44140625" style="619" customWidth="1"/>
    <col min="4102" max="4105" width="9.109375" style="619" customWidth="1"/>
    <col min="4106" max="4106" width="16.44140625" style="619" customWidth="1"/>
    <col min="4107" max="4107" width="11.109375" style="619" customWidth="1"/>
    <col min="4108" max="4108" width="0.109375" style="619" customWidth="1"/>
    <col min="4109" max="4109" width="8" style="619" customWidth="1"/>
    <col min="4110" max="4110" width="4.44140625" style="619" customWidth="1"/>
    <col min="4111" max="4111" width="13.109375" style="619" customWidth="1"/>
    <col min="4112" max="4114" width="0" style="619" hidden="1" customWidth="1"/>
    <col min="4115" max="4115" width="13" style="619" bestFit="1" customWidth="1"/>
    <col min="4116" max="4117" width="13.109375" style="619" bestFit="1" customWidth="1"/>
    <col min="4118" max="4118" width="9.33203125" style="619"/>
    <col min="4119" max="4119" width="13.109375" style="619" bestFit="1" customWidth="1"/>
    <col min="4120" max="4120" width="12" style="619" bestFit="1" customWidth="1"/>
    <col min="4121" max="4352" width="9.33203125" style="619"/>
    <col min="4353" max="4353" width="2" style="619" customWidth="1"/>
    <col min="4354" max="4354" width="5.44140625" style="619" customWidth="1"/>
    <col min="4355" max="4355" width="9.109375" style="619" customWidth="1"/>
    <col min="4356" max="4356" width="3.44140625" style="619" customWidth="1"/>
    <col min="4357" max="4357" width="18.44140625" style="619" customWidth="1"/>
    <col min="4358" max="4361" width="9.109375" style="619" customWidth="1"/>
    <col min="4362" max="4362" width="16.44140625" style="619" customWidth="1"/>
    <col min="4363" max="4363" width="11.109375" style="619" customWidth="1"/>
    <col min="4364" max="4364" width="0.109375" style="619" customWidth="1"/>
    <col min="4365" max="4365" width="8" style="619" customWidth="1"/>
    <col min="4366" max="4366" width="4.44140625" style="619" customWidth="1"/>
    <col min="4367" max="4367" width="13.109375" style="619" customWidth="1"/>
    <col min="4368" max="4370" width="0" style="619" hidden="1" customWidth="1"/>
    <col min="4371" max="4371" width="13" style="619" bestFit="1" customWidth="1"/>
    <col min="4372" max="4373" width="13.109375" style="619" bestFit="1" customWidth="1"/>
    <col min="4374" max="4374" width="9.33203125" style="619"/>
    <col min="4375" max="4375" width="13.109375" style="619" bestFit="1" customWidth="1"/>
    <col min="4376" max="4376" width="12" style="619" bestFit="1" customWidth="1"/>
    <col min="4377" max="4608" width="9.33203125" style="619"/>
    <col min="4609" max="4609" width="2" style="619" customWidth="1"/>
    <col min="4610" max="4610" width="5.44140625" style="619" customWidth="1"/>
    <col min="4611" max="4611" width="9.109375" style="619" customWidth="1"/>
    <col min="4612" max="4612" width="3.44140625" style="619" customWidth="1"/>
    <col min="4613" max="4613" width="18.44140625" style="619" customWidth="1"/>
    <col min="4614" max="4617" width="9.109375" style="619" customWidth="1"/>
    <col min="4618" max="4618" width="16.44140625" style="619" customWidth="1"/>
    <col min="4619" max="4619" width="11.109375" style="619" customWidth="1"/>
    <col min="4620" max="4620" width="0.109375" style="619" customWidth="1"/>
    <col min="4621" max="4621" width="8" style="619" customWidth="1"/>
    <col min="4622" max="4622" width="4.44140625" style="619" customWidth="1"/>
    <col min="4623" max="4623" width="13.109375" style="619" customWidth="1"/>
    <col min="4624" max="4626" width="0" style="619" hidden="1" customWidth="1"/>
    <col min="4627" max="4627" width="13" style="619" bestFit="1" customWidth="1"/>
    <col min="4628" max="4629" width="13.109375" style="619" bestFit="1" customWidth="1"/>
    <col min="4630" max="4630" width="9.33203125" style="619"/>
    <col min="4631" max="4631" width="13.109375" style="619" bestFit="1" customWidth="1"/>
    <col min="4632" max="4632" width="12" style="619" bestFit="1" customWidth="1"/>
    <col min="4633" max="4864" width="9.33203125" style="619"/>
    <col min="4865" max="4865" width="2" style="619" customWidth="1"/>
    <col min="4866" max="4866" width="5.44140625" style="619" customWidth="1"/>
    <col min="4867" max="4867" width="9.109375" style="619" customWidth="1"/>
    <col min="4868" max="4868" width="3.44140625" style="619" customWidth="1"/>
    <col min="4869" max="4869" width="18.44140625" style="619" customWidth="1"/>
    <col min="4870" max="4873" width="9.109375" style="619" customWidth="1"/>
    <col min="4874" max="4874" width="16.44140625" style="619" customWidth="1"/>
    <col min="4875" max="4875" width="11.109375" style="619" customWidth="1"/>
    <col min="4876" max="4876" width="0.109375" style="619" customWidth="1"/>
    <col min="4877" max="4877" width="8" style="619" customWidth="1"/>
    <col min="4878" max="4878" width="4.44140625" style="619" customWidth="1"/>
    <col min="4879" max="4879" width="13.109375" style="619" customWidth="1"/>
    <col min="4880" max="4882" width="0" style="619" hidden="1" customWidth="1"/>
    <col min="4883" max="4883" width="13" style="619" bestFit="1" customWidth="1"/>
    <col min="4884" max="4885" width="13.109375" style="619" bestFit="1" customWidth="1"/>
    <col min="4886" max="4886" width="9.33203125" style="619"/>
    <col min="4887" max="4887" width="13.109375" style="619" bestFit="1" customWidth="1"/>
    <col min="4888" max="4888" width="12" style="619" bestFit="1" customWidth="1"/>
    <col min="4889" max="5120" width="9.33203125" style="619"/>
    <col min="5121" max="5121" width="2" style="619" customWidth="1"/>
    <col min="5122" max="5122" width="5.44140625" style="619" customWidth="1"/>
    <col min="5123" max="5123" width="9.109375" style="619" customWidth="1"/>
    <col min="5124" max="5124" width="3.44140625" style="619" customWidth="1"/>
    <col min="5125" max="5125" width="18.44140625" style="619" customWidth="1"/>
    <col min="5126" max="5129" width="9.109375" style="619" customWidth="1"/>
    <col min="5130" max="5130" width="16.44140625" style="619" customWidth="1"/>
    <col min="5131" max="5131" width="11.109375" style="619" customWidth="1"/>
    <col min="5132" max="5132" width="0.109375" style="619" customWidth="1"/>
    <col min="5133" max="5133" width="8" style="619" customWidth="1"/>
    <col min="5134" max="5134" width="4.44140625" style="619" customWidth="1"/>
    <col min="5135" max="5135" width="13.109375" style="619" customWidth="1"/>
    <col min="5136" max="5138" width="0" style="619" hidden="1" customWidth="1"/>
    <col min="5139" max="5139" width="13" style="619" bestFit="1" customWidth="1"/>
    <col min="5140" max="5141" width="13.109375" style="619" bestFit="1" customWidth="1"/>
    <col min="5142" max="5142" width="9.33203125" style="619"/>
    <col min="5143" max="5143" width="13.109375" style="619" bestFit="1" customWidth="1"/>
    <col min="5144" max="5144" width="12" style="619" bestFit="1" customWidth="1"/>
    <col min="5145" max="5376" width="9.33203125" style="619"/>
    <col min="5377" max="5377" width="2" style="619" customWidth="1"/>
    <col min="5378" max="5378" width="5.44140625" style="619" customWidth="1"/>
    <col min="5379" max="5379" width="9.109375" style="619" customWidth="1"/>
    <col min="5380" max="5380" width="3.44140625" style="619" customWidth="1"/>
    <col min="5381" max="5381" width="18.44140625" style="619" customWidth="1"/>
    <col min="5382" max="5385" width="9.109375" style="619" customWidth="1"/>
    <col min="5386" max="5386" width="16.44140625" style="619" customWidth="1"/>
    <col min="5387" max="5387" width="11.109375" style="619" customWidth="1"/>
    <col min="5388" max="5388" width="0.109375" style="619" customWidth="1"/>
    <col min="5389" max="5389" width="8" style="619" customWidth="1"/>
    <col min="5390" max="5390" width="4.44140625" style="619" customWidth="1"/>
    <col min="5391" max="5391" width="13.109375" style="619" customWidth="1"/>
    <col min="5392" max="5394" width="0" style="619" hidden="1" customWidth="1"/>
    <col min="5395" max="5395" width="13" style="619" bestFit="1" customWidth="1"/>
    <col min="5396" max="5397" width="13.109375" style="619" bestFit="1" customWidth="1"/>
    <col min="5398" max="5398" width="9.33203125" style="619"/>
    <col min="5399" max="5399" width="13.109375" style="619" bestFit="1" customWidth="1"/>
    <col min="5400" max="5400" width="12" style="619" bestFit="1" customWidth="1"/>
    <col min="5401" max="5632" width="9.33203125" style="619"/>
    <col min="5633" max="5633" width="2" style="619" customWidth="1"/>
    <col min="5634" max="5634" width="5.44140625" style="619" customWidth="1"/>
    <col min="5635" max="5635" width="9.109375" style="619" customWidth="1"/>
    <col min="5636" max="5636" width="3.44140625" style="619" customWidth="1"/>
    <col min="5637" max="5637" width="18.44140625" style="619" customWidth="1"/>
    <col min="5638" max="5641" width="9.109375" style="619" customWidth="1"/>
    <col min="5642" max="5642" width="16.44140625" style="619" customWidth="1"/>
    <col min="5643" max="5643" width="11.109375" style="619" customWidth="1"/>
    <col min="5644" max="5644" width="0.109375" style="619" customWidth="1"/>
    <col min="5645" max="5645" width="8" style="619" customWidth="1"/>
    <col min="5646" max="5646" width="4.44140625" style="619" customWidth="1"/>
    <col min="5647" max="5647" width="13.109375" style="619" customWidth="1"/>
    <col min="5648" max="5650" width="0" style="619" hidden="1" customWidth="1"/>
    <col min="5651" max="5651" width="13" style="619" bestFit="1" customWidth="1"/>
    <col min="5652" max="5653" width="13.109375" style="619" bestFit="1" customWidth="1"/>
    <col min="5654" max="5654" width="9.33203125" style="619"/>
    <col min="5655" max="5655" width="13.109375" style="619" bestFit="1" customWidth="1"/>
    <col min="5656" max="5656" width="12" style="619" bestFit="1" customWidth="1"/>
    <col min="5657" max="5888" width="9.33203125" style="619"/>
    <col min="5889" max="5889" width="2" style="619" customWidth="1"/>
    <col min="5890" max="5890" width="5.44140625" style="619" customWidth="1"/>
    <col min="5891" max="5891" width="9.109375" style="619" customWidth="1"/>
    <col min="5892" max="5892" width="3.44140625" style="619" customWidth="1"/>
    <col min="5893" max="5893" width="18.44140625" style="619" customWidth="1"/>
    <col min="5894" max="5897" width="9.109375" style="619" customWidth="1"/>
    <col min="5898" max="5898" width="16.44140625" style="619" customWidth="1"/>
    <col min="5899" max="5899" width="11.109375" style="619" customWidth="1"/>
    <col min="5900" max="5900" width="0.109375" style="619" customWidth="1"/>
    <col min="5901" max="5901" width="8" style="619" customWidth="1"/>
    <col min="5902" max="5902" width="4.44140625" style="619" customWidth="1"/>
    <col min="5903" max="5903" width="13.109375" style="619" customWidth="1"/>
    <col min="5904" max="5906" width="0" style="619" hidden="1" customWidth="1"/>
    <col min="5907" max="5907" width="13" style="619" bestFit="1" customWidth="1"/>
    <col min="5908" max="5909" width="13.109375" style="619" bestFit="1" customWidth="1"/>
    <col min="5910" max="5910" width="9.33203125" style="619"/>
    <col min="5911" max="5911" width="13.109375" style="619" bestFit="1" customWidth="1"/>
    <col min="5912" max="5912" width="12" style="619" bestFit="1" customWidth="1"/>
    <col min="5913" max="6144" width="9.33203125" style="619"/>
    <col min="6145" max="6145" width="2" style="619" customWidth="1"/>
    <col min="6146" max="6146" width="5.44140625" style="619" customWidth="1"/>
    <col min="6147" max="6147" width="9.109375" style="619" customWidth="1"/>
    <col min="6148" max="6148" width="3.44140625" style="619" customWidth="1"/>
    <col min="6149" max="6149" width="18.44140625" style="619" customWidth="1"/>
    <col min="6150" max="6153" width="9.109375" style="619" customWidth="1"/>
    <col min="6154" max="6154" width="16.44140625" style="619" customWidth="1"/>
    <col min="6155" max="6155" width="11.109375" style="619" customWidth="1"/>
    <col min="6156" max="6156" width="0.109375" style="619" customWidth="1"/>
    <col min="6157" max="6157" width="8" style="619" customWidth="1"/>
    <col min="6158" max="6158" width="4.44140625" style="619" customWidth="1"/>
    <col min="6159" max="6159" width="13.109375" style="619" customWidth="1"/>
    <col min="6160" max="6162" width="0" style="619" hidden="1" customWidth="1"/>
    <col min="6163" max="6163" width="13" style="619" bestFit="1" customWidth="1"/>
    <col min="6164" max="6165" width="13.109375" style="619" bestFit="1" customWidth="1"/>
    <col min="6166" max="6166" width="9.33203125" style="619"/>
    <col min="6167" max="6167" width="13.109375" style="619" bestFit="1" customWidth="1"/>
    <col min="6168" max="6168" width="12" style="619" bestFit="1" customWidth="1"/>
    <col min="6169" max="6400" width="9.33203125" style="619"/>
    <col min="6401" max="6401" width="2" style="619" customWidth="1"/>
    <col min="6402" max="6402" width="5.44140625" style="619" customWidth="1"/>
    <col min="6403" max="6403" width="9.109375" style="619" customWidth="1"/>
    <col min="6404" max="6404" width="3.44140625" style="619" customWidth="1"/>
    <col min="6405" max="6405" width="18.44140625" style="619" customWidth="1"/>
    <col min="6406" max="6409" width="9.109375" style="619" customWidth="1"/>
    <col min="6410" max="6410" width="16.44140625" style="619" customWidth="1"/>
    <col min="6411" max="6411" width="11.109375" style="619" customWidth="1"/>
    <col min="6412" max="6412" width="0.109375" style="619" customWidth="1"/>
    <col min="6413" max="6413" width="8" style="619" customWidth="1"/>
    <col min="6414" max="6414" width="4.44140625" style="619" customWidth="1"/>
    <col min="6415" max="6415" width="13.109375" style="619" customWidth="1"/>
    <col min="6416" max="6418" width="0" style="619" hidden="1" customWidth="1"/>
    <col min="6419" max="6419" width="13" style="619" bestFit="1" customWidth="1"/>
    <col min="6420" max="6421" width="13.109375" style="619" bestFit="1" customWidth="1"/>
    <col min="6422" max="6422" width="9.33203125" style="619"/>
    <col min="6423" max="6423" width="13.109375" style="619" bestFit="1" customWidth="1"/>
    <col min="6424" max="6424" width="12" style="619" bestFit="1" customWidth="1"/>
    <col min="6425" max="6656" width="9.33203125" style="619"/>
    <col min="6657" max="6657" width="2" style="619" customWidth="1"/>
    <col min="6658" max="6658" width="5.44140625" style="619" customWidth="1"/>
    <col min="6659" max="6659" width="9.109375" style="619" customWidth="1"/>
    <col min="6660" max="6660" width="3.44140625" style="619" customWidth="1"/>
    <col min="6661" max="6661" width="18.44140625" style="619" customWidth="1"/>
    <col min="6662" max="6665" width="9.109375" style="619" customWidth="1"/>
    <col min="6666" max="6666" width="16.44140625" style="619" customWidth="1"/>
    <col min="6667" max="6667" width="11.109375" style="619" customWidth="1"/>
    <col min="6668" max="6668" width="0.109375" style="619" customWidth="1"/>
    <col min="6669" max="6669" width="8" style="619" customWidth="1"/>
    <col min="6670" max="6670" width="4.44140625" style="619" customWidth="1"/>
    <col min="6671" max="6671" width="13.109375" style="619" customWidth="1"/>
    <col min="6672" max="6674" width="0" style="619" hidden="1" customWidth="1"/>
    <col min="6675" max="6675" width="13" style="619" bestFit="1" customWidth="1"/>
    <col min="6676" max="6677" width="13.109375" style="619" bestFit="1" customWidth="1"/>
    <col min="6678" max="6678" width="9.33203125" style="619"/>
    <col min="6679" max="6679" width="13.109375" style="619" bestFit="1" customWidth="1"/>
    <col min="6680" max="6680" width="12" style="619" bestFit="1" customWidth="1"/>
    <col min="6681" max="6912" width="9.33203125" style="619"/>
    <col min="6913" max="6913" width="2" style="619" customWidth="1"/>
    <col min="6914" max="6914" width="5.44140625" style="619" customWidth="1"/>
    <col min="6915" max="6915" width="9.109375" style="619" customWidth="1"/>
    <col min="6916" max="6916" width="3.44140625" style="619" customWidth="1"/>
    <col min="6917" max="6917" width="18.44140625" style="619" customWidth="1"/>
    <col min="6918" max="6921" width="9.109375" style="619" customWidth="1"/>
    <col min="6922" max="6922" width="16.44140625" style="619" customWidth="1"/>
    <col min="6923" max="6923" width="11.109375" style="619" customWidth="1"/>
    <col min="6924" max="6924" width="0.109375" style="619" customWidth="1"/>
    <col min="6925" max="6925" width="8" style="619" customWidth="1"/>
    <col min="6926" max="6926" width="4.44140625" style="619" customWidth="1"/>
    <col min="6927" max="6927" width="13.109375" style="619" customWidth="1"/>
    <col min="6928" max="6930" width="0" style="619" hidden="1" customWidth="1"/>
    <col min="6931" max="6931" width="13" style="619" bestFit="1" customWidth="1"/>
    <col min="6932" max="6933" width="13.109375" style="619" bestFit="1" customWidth="1"/>
    <col min="6934" max="6934" width="9.33203125" style="619"/>
    <col min="6935" max="6935" width="13.109375" style="619" bestFit="1" customWidth="1"/>
    <col min="6936" max="6936" width="12" style="619" bestFit="1" customWidth="1"/>
    <col min="6937" max="7168" width="9.33203125" style="619"/>
    <col min="7169" max="7169" width="2" style="619" customWidth="1"/>
    <col min="7170" max="7170" width="5.44140625" style="619" customWidth="1"/>
    <col min="7171" max="7171" width="9.109375" style="619" customWidth="1"/>
    <col min="7172" max="7172" width="3.44140625" style="619" customWidth="1"/>
    <col min="7173" max="7173" width="18.44140625" style="619" customWidth="1"/>
    <col min="7174" max="7177" width="9.109375" style="619" customWidth="1"/>
    <col min="7178" max="7178" width="16.44140625" style="619" customWidth="1"/>
    <col min="7179" max="7179" width="11.109375" style="619" customWidth="1"/>
    <col min="7180" max="7180" width="0.109375" style="619" customWidth="1"/>
    <col min="7181" max="7181" width="8" style="619" customWidth="1"/>
    <col min="7182" max="7182" width="4.44140625" style="619" customWidth="1"/>
    <col min="7183" max="7183" width="13.109375" style="619" customWidth="1"/>
    <col min="7184" max="7186" width="0" style="619" hidden="1" customWidth="1"/>
    <col min="7187" max="7187" width="13" style="619" bestFit="1" customWidth="1"/>
    <col min="7188" max="7189" width="13.109375" style="619" bestFit="1" customWidth="1"/>
    <col min="7190" max="7190" width="9.33203125" style="619"/>
    <col min="7191" max="7191" width="13.109375" style="619" bestFit="1" customWidth="1"/>
    <col min="7192" max="7192" width="12" style="619" bestFit="1" customWidth="1"/>
    <col min="7193" max="7424" width="9.33203125" style="619"/>
    <col min="7425" max="7425" width="2" style="619" customWidth="1"/>
    <col min="7426" max="7426" width="5.44140625" style="619" customWidth="1"/>
    <col min="7427" max="7427" width="9.109375" style="619" customWidth="1"/>
    <col min="7428" max="7428" width="3.44140625" style="619" customWidth="1"/>
    <col min="7429" max="7429" width="18.44140625" style="619" customWidth="1"/>
    <col min="7430" max="7433" width="9.109375" style="619" customWidth="1"/>
    <col min="7434" max="7434" width="16.44140625" style="619" customWidth="1"/>
    <col min="7435" max="7435" width="11.109375" style="619" customWidth="1"/>
    <col min="7436" max="7436" width="0.109375" style="619" customWidth="1"/>
    <col min="7437" max="7437" width="8" style="619" customWidth="1"/>
    <col min="7438" max="7438" width="4.44140625" style="619" customWidth="1"/>
    <col min="7439" max="7439" width="13.109375" style="619" customWidth="1"/>
    <col min="7440" max="7442" width="0" style="619" hidden="1" customWidth="1"/>
    <col min="7443" max="7443" width="13" style="619" bestFit="1" customWidth="1"/>
    <col min="7444" max="7445" width="13.109375" style="619" bestFit="1" customWidth="1"/>
    <col min="7446" max="7446" width="9.33203125" style="619"/>
    <col min="7447" max="7447" width="13.109375" style="619" bestFit="1" customWidth="1"/>
    <col min="7448" max="7448" width="12" style="619" bestFit="1" customWidth="1"/>
    <col min="7449" max="7680" width="9.33203125" style="619"/>
    <col min="7681" max="7681" width="2" style="619" customWidth="1"/>
    <col min="7682" max="7682" width="5.44140625" style="619" customWidth="1"/>
    <col min="7683" max="7683" width="9.109375" style="619" customWidth="1"/>
    <col min="7684" max="7684" width="3.44140625" style="619" customWidth="1"/>
    <col min="7685" max="7685" width="18.44140625" style="619" customWidth="1"/>
    <col min="7686" max="7689" width="9.109375" style="619" customWidth="1"/>
    <col min="7690" max="7690" width="16.44140625" style="619" customWidth="1"/>
    <col min="7691" max="7691" width="11.109375" style="619" customWidth="1"/>
    <col min="7692" max="7692" width="0.109375" style="619" customWidth="1"/>
    <col min="7693" max="7693" width="8" style="619" customWidth="1"/>
    <col min="7694" max="7694" width="4.44140625" style="619" customWidth="1"/>
    <col min="7695" max="7695" width="13.109375" style="619" customWidth="1"/>
    <col min="7696" max="7698" width="0" style="619" hidden="1" customWidth="1"/>
    <col min="7699" max="7699" width="13" style="619" bestFit="1" customWidth="1"/>
    <col min="7700" max="7701" width="13.109375" style="619" bestFit="1" customWidth="1"/>
    <col min="7702" max="7702" width="9.33203125" style="619"/>
    <col min="7703" max="7703" width="13.109375" style="619" bestFit="1" customWidth="1"/>
    <col min="7704" max="7704" width="12" style="619" bestFit="1" customWidth="1"/>
    <col min="7705" max="7936" width="9.33203125" style="619"/>
    <col min="7937" max="7937" width="2" style="619" customWidth="1"/>
    <col min="7938" max="7938" width="5.44140625" style="619" customWidth="1"/>
    <col min="7939" max="7939" width="9.109375" style="619" customWidth="1"/>
    <col min="7940" max="7940" width="3.44140625" style="619" customWidth="1"/>
    <col min="7941" max="7941" width="18.44140625" style="619" customWidth="1"/>
    <col min="7942" max="7945" width="9.109375" style="619" customWidth="1"/>
    <col min="7946" max="7946" width="16.44140625" style="619" customWidth="1"/>
    <col min="7947" max="7947" width="11.109375" style="619" customWidth="1"/>
    <col min="7948" max="7948" width="0.109375" style="619" customWidth="1"/>
    <col min="7949" max="7949" width="8" style="619" customWidth="1"/>
    <col min="7950" max="7950" width="4.44140625" style="619" customWidth="1"/>
    <col min="7951" max="7951" width="13.109375" style="619" customWidth="1"/>
    <col min="7952" max="7954" width="0" style="619" hidden="1" customWidth="1"/>
    <col min="7955" max="7955" width="13" style="619" bestFit="1" customWidth="1"/>
    <col min="7956" max="7957" width="13.109375" style="619" bestFit="1" customWidth="1"/>
    <col min="7958" max="7958" width="9.33203125" style="619"/>
    <col min="7959" max="7959" width="13.109375" style="619" bestFit="1" customWidth="1"/>
    <col min="7960" max="7960" width="12" style="619" bestFit="1" customWidth="1"/>
    <col min="7961" max="8192" width="9.33203125" style="619"/>
    <col min="8193" max="8193" width="2" style="619" customWidth="1"/>
    <col min="8194" max="8194" width="5.44140625" style="619" customWidth="1"/>
    <col min="8195" max="8195" width="9.109375" style="619" customWidth="1"/>
    <col min="8196" max="8196" width="3.44140625" style="619" customWidth="1"/>
    <col min="8197" max="8197" width="18.44140625" style="619" customWidth="1"/>
    <col min="8198" max="8201" width="9.109375" style="619" customWidth="1"/>
    <col min="8202" max="8202" width="16.44140625" style="619" customWidth="1"/>
    <col min="8203" max="8203" width="11.109375" style="619" customWidth="1"/>
    <col min="8204" max="8204" width="0.109375" style="619" customWidth="1"/>
    <col min="8205" max="8205" width="8" style="619" customWidth="1"/>
    <col min="8206" max="8206" width="4.44140625" style="619" customWidth="1"/>
    <col min="8207" max="8207" width="13.109375" style="619" customWidth="1"/>
    <col min="8208" max="8210" width="0" style="619" hidden="1" customWidth="1"/>
    <col min="8211" max="8211" width="13" style="619" bestFit="1" customWidth="1"/>
    <col min="8212" max="8213" width="13.109375" style="619" bestFit="1" customWidth="1"/>
    <col min="8214" max="8214" width="9.33203125" style="619"/>
    <col min="8215" max="8215" width="13.109375" style="619" bestFit="1" customWidth="1"/>
    <col min="8216" max="8216" width="12" style="619" bestFit="1" customWidth="1"/>
    <col min="8217" max="8448" width="9.33203125" style="619"/>
    <col min="8449" max="8449" width="2" style="619" customWidth="1"/>
    <col min="8450" max="8450" width="5.44140625" style="619" customWidth="1"/>
    <col min="8451" max="8451" width="9.109375" style="619" customWidth="1"/>
    <col min="8452" max="8452" width="3.44140625" style="619" customWidth="1"/>
    <col min="8453" max="8453" width="18.44140625" style="619" customWidth="1"/>
    <col min="8454" max="8457" width="9.109375" style="619" customWidth="1"/>
    <col min="8458" max="8458" width="16.44140625" style="619" customWidth="1"/>
    <col min="8459" max="8459" width="11.109375" style="619" customWidth="1"/>
    <col min="8460" max="8460" width="0.109375" style="619" customWidth="1"/>
    <col min="8461" max="8461" width="8" style="619" customWidth="1"/>
    <col min="8462" max="8462" width="4.44140625" style="619" customWidth="1"/>
    <col min="8463" max="8463" width="13.109375" style="619" customWidth="1"/>
    <col min="8464" max="8466" width="0" style="619" hidden="1" customWidth="1"/>
    <col min="8467" max="8467" width="13" style="619" bestFit="1" customWidth="1"/>
    <col min="8468" max="8469" width="13.109375" style="619" bestFit="1" customWidth="1"/>
    <col min="8470" max="8470" width="9.33203125" style="619"/>
    <col min="8471" max="8471" width="13.109375" style="619" bestFit="1" customWidth="1"/>
    <col min="8472" max="8472" width="12" style="619" bestFit="1" customWidth="1"/>
    <col min="8473" max="8704" width="9.33203125" style="619"/>
    <col min="8705" max="8705" width="2" style="619" customWidth="1"/>
    <col min="8706" max="8706" width="5.44140625" style="619" customWidth="1"/>
    <col min="8707" max="8707" width="9.109375" style="619" customWidth="1"/>
    <col min="8708" max="8708" width="3.44140625" style="619" customWidth="1"/>
    <col min="8709" max="8709" width="18.44140625" style="619" customWidth="1"/>
    <col min="8710" max="8713" width="9.109375" style="619" customWidth="1"/>
    <col min="8714" max="8714" width="16.44140625" style="619" customWidth="1"/>
    <col min="8715" max="8715" width="11.109375" style="619" customWidth="1"/>
    <col min="8716" max="8716" width="0.109375" style="619" customWidth="1"/>
    <col min="8717" max="8717" width="8" style="619" customWidth="1"/>
    <col min="8718" max="8718" width="4.44140625" style="619" customWidth="1"/>
    <col min="8719" max="8719" width="13.109375" style="619" customWidth="1"/>
    <col min="8720" max="8722" width="0" style="619" hidden="1" customWidth="1"/>
    <col min="8723" max="8723" width="13" style="619" bestFit="1" customWidth="1"/>
    <col min="8724" max="8725" width="13.109375" style="619" bestFit="1" customWidth="1"/>
    <col min="8726" max="8726" width="9.33203125" style="619"/>
    <col min="8727" max="8727" width="13.109375" style="619" bestFit="1" customWidth="1"/>
    <col min="8728" max="8728" width="12" style="619" bestFit="1" customWidth="1"/>
    <col min="8729" max="8960" width="9.33203125" style="619"/>
    <col min="8961" max="8961" width="2" style="619" customWidth="1"/>
    <col min="8962" max="8962" width="5.44140625" style="619" customWidth="1"/>
    <col min="8963" max="8963" width="9.109375" style="619" customWidth="1"/>
    <col min="8964" max="8964" width="3.44140625" style="619" customWidth="1"/>
    <col min="8965" max="8965" width="18.44140625" style="619" customWidth="1"/>
    <col min="8966" max="8969" width="9.109375" style="619" customWidth="1"/>
    <col min="8970" max="8970" width="16.44140625" style="619" customWidth="1"/>
    <col min="8971" max="8971" width="11.109375" style="619" customWidth="1"/>
    <col min="8972" max="8972" width="0.109375" style="619" customWidth="1"/>
    <col min="8973" max="8973" width="8" style="619" customWidth="1"/>
    <col min="8974" max="8974" width="4.44140625" style="619" customWidth="1"/>
    <col min="8975" max="8975" width="13.109375" style="619" customWidth="1"/>
    <col min="8976" max="8978" width="0" style="619" hidden="1" customWidth="1"/>
    <col min="8979" max="8979" width="13" style="619" bestFit="1" customWidth="1"/>
    <col min="8980" max="8981" width="13.109375" style="619" bestFit="1" customWidth="1"/>
    <col min="8982" max="8982" width="9.33203125" style="619"/>
    <col min="8983" max="8983" width="13.109375" style="619" bestFit="1" customWidth="1"/>
    <col min="8984" max="8984" width="12" style="619" bestFit="1" customWidth="1"/>
    <col min="8985" max="9216" width="9.33203125" style="619"/>
    <col min="9217" max="9217" width="2" style="619" customWidth="1"/>
    <col min="9218" max="9218" width="5.44140625" style="619" customWidth="1"/>
    <col min="9219" max="9219" width="9.109375" style="619" customWidth="1"/>
    <col min="9220" max="9220" width="3.44140625" style="619" customWidth="1"/>
    <col min="9221" max="9221" width="18.44140625" style="619" customWidth="1"/>
    <col min="9222" max="9225" width="9.109375" style="619" customWidth="1"/>
    <col min="9226" max="9226" width="16.44140625" style="619" customWidth="1"/>
    <col min="9227" max="9227" width="11.109375" style="619" customWidth="1"/>
    <col min="9228" max="9228" width="0.109375" style="619" customWidth="1"/>
    <col min="9229" max="9229" width="8" style="619" customWidth="1"/>
    <col min="9230" max="9230" width="4.44140625" style="619" customWidth="1"/>
    <col min="9231" max="9231" width="13.109375" style="619" customWidth="1"/>
    <col min="9232" max="9234" width="0" style="619" hidden="1" customWidth="1"/>
    <col min="9235" max="9235" width="13" style="619" bestFit="1" customWidth="1"/>
    <col min="9236" max="9237" width="13.109375" style="619" bestFit="1" customWidth="1"/>
    <col min="9238" max="9238" width="9.33203125" style="619"/>
    <col min="9239" max="9239" width="13.109375" style="619" bestFit="1" customWidth="1"/>
    <col min="9240" max="9240" width="12" style="619" bestFit="1" customWidth="1"/>
    <col min="9241" max="9472" width="9.33203125" style="619"/>
    <col min="9473" max="9473" width="2" style="619" customWidth="1"/>
    <col min="9474" max="9474" width="5.44140625" style="619" customWidth="1"/>
    <col min="9475" max="9475" width="9.109375" style="619" customWidth="1"/>
    <col min="9476" max="9476" width="3.44140625" style="619" customWidth="1"/>
    <col min="9477" max="9477" width="18.44140625" style="619" customWidth="1"/>
    <col min="9478" max="9481" width="9.109375" style="619" customWidth="1"/>
    <col min="9482" max="9482" width="16.44140625" style="619" customWidth="1"/>
    <col min="9483" max="9483" width="11.109375" style="619" customWidth="1"/>
    <col min="9484" max="9484" width="0.109375" style="619" customWidth="1"/>
    <col min="9485" max="9485" width="8" style="619" customWidth="1"/>
    <col min="9486" max="9486" width="4.44140625" style="619" customWidth="1"/>
    <col min="9487" max="9487" width="13.109375" style="619" customWidth="1"/>
    <col min="9488" max="9490" width="0" style="619" hidden="1" customWidth="1"/>
    <col min="9491" max="9491" width="13" style="619" bestFit="1" customWidth="1"/>
    <col min="9492" max="9493" width="13.109375" style="619" bestFit="1" customWidth="1"/>
    <col min="9494" max="9494" width="9.33203125" style="619"/>
    <col min="9495" max="9495" width="13.109375" style="619" bestFit="1" customWidth="1"/>
    <col min="9496" max="9496" width="12" style="619" bestFit="1" customWidth="1"/>
    <col min="9497" max="9728" width="9.33203125" style="619"/>
    <col min="9729" max="9729" width="2" style="619" customWidth="1"/>
    <col min="9730" max="9730" width="5.44140625" style="619" customWidth="1"/>
    <col min="9731" max="9731" width="9.109375" style="619" customWidth="1"/>
    <col min="9732" max="9732" width="3.44140625" style="619" customWidth="1"/>
    <col min="9733" max="9733" width="18.44140625" style="619" customWidth="1"/>
    <col min="9734" max="9737" width="9.109375" style="619" customWidth="1"/>
    <col min="9738" max="9738" width="16.44140625" style="619" customWidth="1"/>
    <col min="9739" max="9739" width="11.109375" style="619" customWidth="1"/>
    <col min="9740" max="9740" width="0.109375" style="619" customWidth="1"/>
    <col min="9741" max="9741" width="8" style="619" customWidth="1"/>
    <col min="9742" max="9742" width="4.44140625" style="619" customWidth="1"/>
    <col min="9743" max="9743" width="13.109375" style="619" customWidth="1"/>
    <col min="9744" max="9746" width="0" style="619" hidden="1" customWidth="1"/>
    <col min="9747" max="9747" width="13" style="619" bestFit="1" customWidth="1"/>
    <col min="9748" max="9749" width="13.109375" style="619" bestFit="1" customWidth="1"/>
    <col min="9750" max="9750" width="9.33203125" style="619"/>
    <col min="9751" max="9751" width="13.109375" style="619" bestFit="1" customWidth="1"/>
    <col min="9752" max="9752" width="12" style="619" bestFit="1" customWidth="1"/>
    <col min="9753" max="9984" width="9.33203125" style="619"/>
    <col min="9985" max="9985" width="2" style="619" customWidth="1"/>
    <col min="9986" max="9986" width="5.44140625" style="619" customWidth="1"/>
    <col min="9987" max="9987" width="9.109375" style="619" customWidth="1"/>
    <col min="9988" max="9988" width="3.44140625" style="619" customWidth="1"/>
    <col min="9989" max="9989" width="18.44140625" style="619" customWidth="1"/>
    <col min="9990" max="9993" width="9.109375" style="619" customWidth="1"/>
    <col min="9994" max="9994" width="16.44140625" style="619" customWidth="1"/>
    <col min="9995" max="9995" width="11.109375" style="619" customWidth="1"/>
    <col min="9996" max="9996" width="0.109375" style="619" customWidth="1"/>
    <col min="9997" max="9997" width="8" style="619" customWidth="1"/>
    <col min="9998" max="9998" width="4.44140625" style="619" customWidth="1"/>
    <col min="9999" max="9999" width="13.109375" style="619" customWidth="1"/>
    <col min="10000" max="10002" width="0" style="619" hidden="1" customWidth="1"/>
    <col min="10003" max="10003" width="13" style="619" bestFit="1" customWidth="1"/>
    <col min="10004" max="10005" width="13.109375" style="619" bestFit="1" customWidth="1"/>
    <col min="10006" max="10006" width="9.33203125" style="619"/>
    <col min="10007" max="10007" width="13.109375" style="619" bestFit="1" customWidth="1"/>
    <col min="10008" max="10008" width="12" style="619" bestFit="1" customWidth="1"/>
    <col min="10009" max="10240" width="9.33203125" style="619"/>
    <col min="10241" max="10241" width="2" style="619" customWidth="1"/>
    <col min="10242" max="10242" width="5.44140625" style="619" customWidth="1"/>
    <col min="10243" max="10243" width="9.109375" style="619" customWidth="1"/>
    <col min="10244" max="10244" width="3.44140625" style="619" customWidth="1"/>
    <col min="10245" max="10245" width="18.44140625" style="619" customWidth="1"/>
    <col min="10246" max="10249" width="9.109375" style="619" customWidth="1"/>
    <col min="10250" max="10250" width="16.44140625" style="619" customWidth="1"/>
    <col min="10251" max="10251" width="11.109375" style="619" customWidth="1"/>
    <col min="10252" max="10252" width="0.109375" style="619" customWidth="1"/>
    <col min="10253" max="10253" width="8" style="619" customWidth="1"/>
    <col min="10254" max="10254" width="4.44140625" style="619" customWidth="1"/>
    <col min="10255" max="10255" width="13.109375" style="619" customWidth="1"/>
    <col min="10256" max="10258" width="0" style="619" hidden="1" customWidth="1"/>
    <col min="10259" max="10259" width="13" style="619" bestFit="1" customWidth="1"/>
    <col min="10260" max="10261" width="13.109375" style="619" bestFit="1" customWidth="1"/>
    <col min="10262" max="10262" width="9.33203125" style="619"/>
    <col min="10263" max="10263" width="13.109375" style="619" bestFit="1" customWidth="1"/>
    <col min="10264" max="10264" width="12" style="619" bestFit="1" customWidth="1"/>
    <col min="10265" max="10496" width="9.33203125" style="619"/>
    <col min="10497" max="10497" width="2" style="619" customWidth="1"/>
    <col min="10498" max="10498" width="5.44140625" style="619" customWidth="1"/>
    <col min="10499" max="10499" width="9.109375" style="619" customWidth="1"/>
    <col min="10500" max="10500" width="3.44140625" style="619" customWidth="1"/>
    <col min="10501" max="10501" width="18.44140625" style="619" customWidth="1"/>
    <col min="10502" max="10505" width="9.109375" style="619" customWidth="1"/>
    <col min="10506" max="10506" width="16.44140625" style="619" customWidth="1"/>
    <col min="10507" max="10507" width="11.109375" style="619" customWidth="1"/>
    <col min="10508" max="10508" width="0.109375" style="619" customWidth="1"/>
    <col min="10509" max="10509" width="8" style="619" customWidth="1"/>
    <col min="10510" max="10510" width="4.44140625" style="619" customWidth="1"/>
    <col min="10511" max="10511" width="13.109375" style="619" customWidth="1"/>
    <col min="10512" max="10514" width="0" style="619" hidden="1" customWidth="1"/>
    <col min="10515" max="10515" width="13" style="619" bestFit="1" customWidth="1"/>
    <col min="10516" max="10517" width="13.109375" style="619" bestFit="1" customWidth="1"/>
    <col min="10518" max="10518" width="9.33203125" style="619"/>
    <col min="10519" max="10519" width="13.109375" style="619" bestFit="1" customWidth="1"/>
    <col min="10520" max="10520" width="12" style="619" bestFit="1" customWidth="1"/>
    <col min="10521" max="10752" width="9.33203125" style="619"/>
    <col min="10753" max="10753" width="2" style="619" customWidth="1"/>
    <col min="10754" max="10754" width="5.44140625" style="619" customWidth="1"/>
    <col min="10755" max="10755" width="9.109375" style="619" customWidth="1"/>
    <col min="10756" max="10756" width="3.44140625" style="619" customWidth="1"/>
    <col min="10757" max="10757" width="18.44140625" style="619" customWidth="1"/>
    <col min="10758" max="10761" width="9.109375" style="619" customWidth="1"/>
    <col min="10762" max="10762" width="16.44140625" style="619" customWidth="1"/>
    <col min="10763" max="10763" width="11.109375" style="619" customWidth="1"/>
    <col min="10764" max="10764" width="0.109375" style="619" customWidth="1"/>
    <col min="10765" max="10765" width="8" style="619" customWidth="1"/>
    <col min="10766" max="10766" width="4.44140625" style="619" customWidth="1"/>
    <col min="10767" max="10767" width="13.109375" style="619" customWidth="1"/>
    <col min="10768" max="10770" width="0" style="619" hidden="1" customWidth="1"/>
    <col min="10771" max="10771" width="13" style="619" bestFit="1" customWidth="1"/>
    <col min="10772" max="10773" width="13.109375" style="619" bestFit="1" customWidth="1"/>
    <col min="10774" max="10774" width="9.33203125" style="619"/>
    <col min="10775" max="10775" width="13.109375" style="619" bestFit="1" customWidth="1"/>
    <col min="10776" max="10776" width="12" style="619" bestFit="1" customWidth="1"/>
    <col min="10777" max="11008" width="9.33203125" style="619"/>
    <col min="11009" max="11009" width="2" style="619" customWidth="1"/>
    <col min="11010" max="11010" width="5.44140625" style="619" customWidth="1"/>
    <col min="11011" max="11011" width="9.109375" style="619" customWidth="1"/>
    <col min="11012" max="11012" width="3.44140625" style="619" customWidth="1"/>
    <col min="11013" max="11013" width="18.44140625" style="619" customWidth="1"/>
    <col min="11014" max="11017" width="9.109375" style="619" customWidth="1"/>
    <col min="11018" max="11018" width="16.44140625" style="619" customWidth="1"/>
    <col min="11019" max="11019" width="11.109375" style="619" customWidth="1"/>
    <col min="11020" max="11020" width="0.109375" style="619" customWidth="1"/>
    <col min="11021" max="11021" width="8" style="619" customWidth="1"/>
    <col min="11022" max="11022" width="4.44140625" style="619" customWidth="1"/>
    <col min="11023" max="11023" width="13.109375" style="619" customWidth="1"/>
    <col min="11024" max="11026" width="0" style="619" hidden="1" customWidth="1"/>
    <col min="11027" max="11027" width="13" style="619" bestFit="1" customWidth="1"/>
    <col min="11028" max="11029" width="13.109375" style="619" bestFit="1" customWidth="1"/>
    <col min="11030" max="11030" width="9.33203125" style="619"/>
    <col min="11031" max="11031" width="13.109375" style="619" bestFit="1" customWidth="1"/>
    <col min="11032" max="11032" width="12" style="619" bestFit="1" customWidth="1"/>
    <col min="11033" max="11264" width="9.33203125" style="619"/>
    <col min="11265" max="11265" width="2" style="619" customWidth="1"/>
    <col min="11266" max="11266" width="5.44140625" style="619" customWidth="1"/>
    <col min="11267" max="11267" width="9.109375" style="619" customWidth="1"/>
    <col min="11268" max="11268" width="3.44140625" style="619" customWidth="1"/>
    <col min="11269" max="11269" width="18.44140625" style="619" customWidth="1"/>
    <col min="11270" max="11273" width="9.109375" style="619" customWidth="1"/>
    <col min="11274" max="11274" width="16.44140625" style="619" customWidth="1"/>
    <col min="11275" max="11275" width="11.109375" style="619" customWidth="1"/>
    <col min="11276" max="11276" width="0.109375" style="619" customWidth="1"/>
    <col min="11277" max="11277" width="8" style="619" customWidth="1"/>
    <col min="11278" max="11278" width="4.44140625" style="619" customWidth="1"/>
    <col min="11279" max="11279" width="13.109375" style="619" customWidth="1"/>
    <col min="11280" max="11282" width="0" style="619" hidden="1" customWidth="1"/>
    <col min="11283" max="11283" width="13" style="619" bestFit="1" customWidth="1"/>
    <col min="11284" max="11285" width="13.109375" style="619" bestFit="1" customWidth="1"/>
    <col min="11286" max="11286" width="9.33203125" style="619"/>
    <col min="11287" max="11287" width="13.109375" style="619" bestFit="1" customWidth="1"/>
    <col min="11288" max="11288" width="12" style="619" bestFit="1" customWidth="1"/>
    <col min="11289" max="11520" width="9.33203125" style="619"/>
    <col min="11521" max="11521" width="2" style="619" customWidth="1"/>
    <col min="11522" max="11522" width="5.44140625" style="619" customWidth="1"/>
    <col min="11523" max="11523" width="9.109375" style="619" customWidth="1"/>
    <col min="11524" max="11524" width="3.44140625" style="619" customWidth="1"/>
    <col min="11525" max="11525" width="18.44140625" style="619" customWidth="1"/>
    <col min="11526" max="11529" width="9.109375" style="619" customWidth="1"/>
    <col min="11530" max="11530" width="16.44140625" style="619" customWidth="1"/>
    <col min="11531" max="11531" width="11.109375" style="619" customWidth="1"/>
    <col min="11532" max="11532" width="0.109375" style="619" customWidth="1"/>
    <col min="11533" max="11533" width="8" style="619" customWidth="1"/>
    <col min="11534" max="11534" width="4.44140625" style="619" customWidth="1"/>
    <col min="11535" max="11535" width="13.109375" style="619" customWidth="1"/>
    <col min="11536" max="11538" width="0" style="619" hidden="1" customWidth="1"/>
    <col min="11539" max="11539" width="13" style="619" bestFit="1" customWidth="1"/>
    <col min="11540" max="11541" width="13.109375" style="619" bestFit="1" customWidth="1"/>
    <col min="11542" max="11542" width="9.33203125" style="619"/>
    <col min="11543" max="11543" width="13.109375" style="619" bestFit="1" customWidth="1"/>
    <col min="11544" max="11544" width="12" style="619" bestFit="1" customWidth="1"/>
    <col min="11545" max="11776" width="9.33203125" style="619"/>
    <col min="11777" max="11777" width="2" style="619" customWidth="1"/>
    <col min="11778" max="11778" width="5.44140625" style="619" customWidth="1"/>
    <col min="11779" max="11779" width="9.109375" style="619" customWidth="1"/>
    <col min="11780" max="11780" width="3.44140625" style="619" customWidth="1"/>
    <col min="11781" max="11781" width="18.44140625" style="619" customWidth="1"/>
    <col min="11782" max="11785" width="9.109375" style="619" customWidth="1"/>
    <col min="11786" max="11786" width="16.44140625" style="619" customWidth="1"/>
    <col min="11787" max="11787" width="11.109375" style="619" customWidth="1"/>
    <col min="11788" max="11788" width="0.109375" style="619" customWidth="1"/>
    <col min="11789" max="11789" width="8" style="619" customWidth="1"/>
    <col min="11790" max="11790" width="4.44140625" style="619" customWidth="1"/>
    <col min="11791" max="11791" width="13.109375" style="619" customWidth="1"/>
    <col min="11792" max="11794" width="0" style="619" hidden="1" customWidth="1"/>
    <col min="11795" max="11795" width="13" style="619" bestFit="1" customWidth="1"/>
    <col min="11796" max="11797" width="13.109375" style="619" bestFit="1" customWidth="1"/>
    <col min="11798" max="11798" width="9.33203125" style="619"/>
    <col min="11799" max="11799" width="13.109375" style="619" bestFit="1" customWidth="1"/>
    <col min="11800" max="11800" width="12" style="619" bestFit="1" customWidth="1"/>
    <col min="11801" max="12032" width="9.33203125" style="619"/>
    <col min="12033" max="12033" width="2" style="619" customWidth="1"/>
    <col min="12034" max="12034" width="5.44140625" style="619" customWidth="1"/>
    <col min="12035" max="12035" width="9.109375" style="619" customWidth="1"/>
    <col min="12036" max="12036" width="3.44140625" style="619" customWidth="1"/>
    <col min="12037" max="12037" width="18.44140625" style="619" customWidth="1"/>
    <col min="12038" max="12041" width="9.109375" style="619" customWidth="1"/>
    <col min="12042" max="12042" width="16.44140625" style="619" customWidth="1"/>
    <col min="12043" max="12043" width="11.109375" style="619" customWidth="1"/>
    <col min="12044" max="12044" width="0.109375" style="619" customWidth="1"/>
    <col min="12045" max="12045" width="8" style="619" customWidth="1"/>
    <col min="12046" max="12046" width="4.44140625" style="619" customWidth="1"/>
    <col min="12047" max="12047" width="13.109375" style="619" customWidth="1"/>
    <col min="12048" max="12050" width="0" style="619" hidden="1" customWidth="1"/>
    <col min="12051" max="12051" width="13" style="619" bestFit="1" customWidth="1"/>
    <col min="12052" max="12053" width="13.109375" style="619" bestFit="1" customWidth="1"/>
    <col min="12054" max="12054" width="9.33203125" style="619"/>
    <col min="12055" max="12055" width="13.109375" style="619" bestFit="1" customWidth="1"/>
    <col min="12056" max="12056" width="12" style="619" bestFit="1" customWidth="1"/>
    <col min="12057" max="12288" width="9.33203125" style="619"/>
    <col min="12289" max="12289" width="2" style="619" customWidth="1"/>
    <col min="12290" max="12290" width="5.44140625" style="619" customWidth="1"/>
    <col min="12291" max="12291" width="9.109375" style="619" customWidth="1"/>
    <col min="12292" max="12292" width="3.44140625" style="619" customWidth="1"/>
    <col min="12293" max="12293" width="18.44140625" style="619" customWidth="1"/>
    <col min="12294" max="12297" width="9.109375" style="619" customWidth="1"/>
    <col min="12298" max="12298" width="16.44140625" style="619" customWidth="1"/>
    <col min="12299" max="12299" width="11.109375" style="619" customWidth="1"/>
    <col min="12300" max="12300" width="0.109375" style="619" customWidth="1"/>
    <col min="12301" max="12301" width="8" style="619" customWidth="1"/>
    <col min="12302" max="12302" width="4.44140625" style="619" customWidth="1"/>
    <col min="12303" max="12303" width="13.109375" style="619" customWidth="1"/>
    <col min="12304" max="12306" width="0" style="619" hidden="1" customWidth="1"/>
    <col min="12307" max="12307" width="13" style="619" bestFit="1" customWidth="1"/>
    <col min="12308" max="12309" width="13.109375" style="619" bestFit="1" customWidth="1"/>
    <col min="12310" max="12310" width="9.33203125" style="619"/>
    <col min="12311" max="12311" width="13.109375" style="619" bestFit="1" customWidth="1"/>
    <col min="12312" max="12312" width="12" style="619" bestFit="1" customWidth="1"/>
    <col min="12313" max="12544" width="9.33203125" style="619"/>
    <col min="12545" max="12545" width="2" style="619" customWidth="1"/>
    <col min="12546" max="12546" width="5.44140625" style="619" customWidth="1"/>
    <col min="12547" max="12547" width="9.109375" style="619" customWidth="1"/>
    <col min="12548" max="12548" width="3.44140625" style="619" customWidth="1"/>
    <col min="12549" max="12549" width="18.44140625" style="619" customWidth="1"/>
    <col min="12550" max="12553" width="9.109375" style="619" customWidth="1"/>
    <col min="12554" max="12554" width="16.44140625" style="619" customWidth="1"/>
    <col min="12555" max="12555" width="11.109375" style="619" customWidth="1"/>
    <col min="12556" max="12556" width="0.109375" style="619" customWidth="1"/>
    <col min="12557" max="12557" width="8" style="619" customWidth="1"/>
    <col min="12558" max="12558" width="4.44140625" style="619" customWidth="1"/>
    <col min="12559" max="12559" width="13.109375" style="619" customWidth="1"/>
    <col min="12560" max="12562" width="0" style="619" hidden="1" customWidth="1"/>
    <col min="12563" max="12563" width="13" style="619" bestFit="1" customWidth="1"/>
    <col min="12564" max="12565" width="13.109375" style="619" bestFit="1" customWidth="1"/>
    <col min="12566" max="12566" width="9.33203125" style="619"/>
    <col min="12567" max="12567" width="13.109375" style="619" bestFit="1" customWidth="1"/>
    <col min="12568" max="12568" width="12" style="619" bestFit="1" customWidth="1"/>
    <col min="12569" max="12800" width="9.33203125" style="619"/>
    <col min="12801" max="12801" width="2" style="619" customWidth="1"/>
    <col min="12802" max="12802" width="5.44140625" style="619" customWidth="1"/>
    <col min="12803" max="12803" width="9.109375" style="619" customWidth="1"/>
    <col min="12804" max="12804" width="3.44140625" style="619" customWidth="1"/>
    <col min="12805" max="12805" width="18.44140625" style="619" customWidth="1"/>
    <col min="12806" max="12809" width="9.109375" style="619" customWidth="1"/>
    <col min="12810" max="12810" width="16.44140625" style="619" customWidth="1"/>
    <col min="12811" max="12811" width="11.109375" style="619" customWidth="1"/>
    <col min="12812" max="12812" width="0.109375" style="619" customWidth="1"/>
    <col min="12813" max="12813" width="8" style="619" customWidth="1"/>
    <col min="12814" max="12814" width="4.44140625" style="619" customWidth="1"/>
    <col min="12815" max="12815" width="13.109375" style="619" customWidth="1"/>
    <col min="12816" max="12818" width="0" style="619" hidden="1" customWidth="1"/>
    <col min="12819" max="12819" width="13" style="619" bestFit="1" customWidth="1"/>
    <col min="12820" max="12821" width="13.109375" style="619" bestFit="1" customWidth="1"/>
    <col min="12822" max="12822" width="9.33203125" style="619"/>
    <col min="12823" max="12823" width="13.109375" style="619" bestFit="1" customWidth="1"/>
    <col min="12824" max="12824" width="12" style="619" bestFit="1" customWidth="1"/>
    <col min="12825" max="13056" width="9.33203125" style="619"/>
    <col min="13057" max="13057" width="2" style="619" customWidth="1"/>
    <col min="13058" max="13058" width="5.44140625" style="619" customWidth="1"/>
    <col min="13059" max="13059" width="9.109375" style="619" customWidth="1"/>
    <col min="13060" max="13060" width="3.44140625" style="619" customWidth="1"/>
    <col min="13061" max="13061" width="18.44140625" style="619" customWidth="1"/>
    <col min="13062" max="13065" width="9.109375" style="619" customWidth="1"/>
    <col min="13066" max="13066" width="16.44140625" style="619" customWidth="1"/>
    <col min="13067" max="13067" width="11.109375" style="619" customWidth="1"/>
    <col min="13068" max="13068" width="0.109375" style="619" customWidth="1"/>
    <col min="13069" max="13069" width="8" style="619" customWidth="1"/>
    <col min="13070" max="13070" width="4.44140625" style="619" customWidth="1"/>
    <col min="13071" max="13071" width="13.109375" style="619" customWidth="1"/>
    <col min="13072" max="13074" width="0" style="619" hidden="1" customWidth="1"/>
    <col min="13075" max="13075" width="13" style="619" bestFit="1" customWidth="1"/>
    <col min="13076" max="13077" width="13.109375" style="619" bestFit="1" customWidth="1"/>
    <col min="13078" max="13078" width="9.33203125" style="619"/>
    <col min="13079" max="13079" width="13.109375" style="619" bestFit="1" customWidth="1"/>
    <col min="13080" max="13080" width="12" style="619" bestFit="1" customWidth="1"/>
    <col min="13081" max="13312" width="9.33203125" style="619"/>
    <col min="13313" max="13313" width="2" style="619" customWidth="1"/>
    <col min="13314" max="13314" width="5.44140625" style="619" customWidth="1"/>
    <col min="13315" max="13315" width="9.109375" style="619" customWidth="1"/>
    <col min="13316" max="13316" width="3.44140625" style="619" customWidth="1"/>
    <col min="13317" max="13317" width="18.44140625" style="619" customWidth="1"/>
    <col min="13318" max="13321" width="9.109375" style="619" customWidth="1"/>
    <col min="13322" max="13322" width="16.44140625" style="619" customWidth="1"/>
    <col min="13323" max="13323" width="11.109375" style="619" customWidth="1"/>
    <col min="13324" max="13324" width="0.109375" style="619" customWidth="1"/>
    <col min="13325" max="13325" width="8" style="619" customWidth="1"/>
    <col min="13326" max="13326" width="4.44140625" style="619" customWidth="1"/>
    <col min="13327" max="13327" width="13.109375" style="619" customWidth="1"/>
    <col min="13328" max="13330" width="0" style="619" hidden="1" customWidth="1"/>
    <col min="13331" max="13331" width="13" style="619" bestFit="1" customWidth="1"/>
    <col min="13332" max="13333" width="13.109375" style="619" bestFit="1" customWidth="1"/>
    <col min="13334" max="13334" width="9.33203125" style="619"/>
    <col min="13335" max="13335" width="13.109375" style="619" bestFit="1" customWidth="1"/>
    <col min="13336" max="13336" width="12" style="619" bestFit="1" customWidth="1"/>
    <col min="13337" max="13568" width="9.33203125" style="619"/>
    <col min="13569" max="13569" width="2" style="619" customWidth="1"/>
    <col min="13570" max="13570" width="5.44140625" style="619" customWidth="1"/>
    <col min="13571" max="13571" width="9.109375" style="619" customWidth="1"/>
    <col min="13572" max="13572" width="3.44140625" style="619" customWidth="1"/>
    <col min="13573" max="13573" width="18.44140625" style="619" customWidth="1"/>
    <col min="13574" max="13577" width="9.109375" style="619" customWidth="1"/>
    <col min="13578" max="13578" width="16.44140625" style="619" customWidth="1"/>
    <col min="13579" max="13579" width="11.109375" style="619" customWidth="1"/>
    <col min="13580" max="13580" width="0.109375" style="619" customWidth="1"/>
    <col min="13581" max="13581" width="8" style="619" customWidth="1"/>
    <col min="13582" max="13582" width="4.44140625" style="619" customWidth="1"/>
    <col min="13583" max="13583" width="13.109375" style="619" customWidth="1"/>
    <col min="13584" max="13586" width="0" style="619" hidden="1" customWidth="1"/>
    <col min="13587" max="13587" width="13" style="619" bestFit="1" customWidth="1"/>
    <col min="13588" max="13589" width="13.109375" style="619" bestFit="1" customWidth="1"/>
    <col min="13590" max="13590" width="9.33203125" style="619"/>
    <col min="13591" max="13591" width="13.109375" style="619" bestFit="1" customWidth="1"/>
    <col min="13592" max="13592" width="12" style="619" bestFit="1" customWidth="1"/>
    <col min="13593" max="13824" width="9.33203125" style="619"/>
    <col min="13825" max="13825" width="2" style="619" customWidth="1"/>
    <col min="13826" max="13826" width="5.44140625" style="619" customWidth="1"/>
    <col min="13827" max="13827" width="9.109375" style="619" customWidth="1"/>
    <col min="13828" max="13828" width="3.44140625" style="619" customWidth="1"/>
    <col min="13829" max="13829" width="18.44140625" style="619" customWidth="1"/>
    <col min="13830" max="13833" width="9.109375" style="619" customWidth="1"/>
    <col min="13834" max="13834" width="16.44140625" style="619" customWidth="1"/>
    <col min="13835" max="13835" width="11.109375" style="619" customWidth="1"/>
    <col min="13836" max="13836" width="0.109375" style="619" customWidth="1"/>
    <col min="13837" max="13837" width="8" style="619" customWidth="1"/>
    <col min="13838" max="13838" width="4.44140625" style="619" customWidth="1"/>
    <col min="13839" max="13839" width="13.109375" style="619" customWidth="1"/>
    <col min="13840" max="13842" width="0" style="619" hidden="1" customWidth="1"/>
    <col min="13843" max="13843" width="13" style="619" bestFit="1" customWidth="1"/>
    <col min="13844" max="13845" width="13.109375" style="619" bestFit="1" customWidth="1"/>
    <col min="13846" max="13846" width="9.33203125" style="619"/>
    <col min="13847" max="13847" width="13.109375" style="619" bestFit="1" customWidth="1"/>
    <col min="13848" max="13848" width="12" style="619" bestFit="1" customWidth="1"/>
    <col min="13849" max="14080" width="9.33203125" style="619"/>
    <col min="14081" max="14081" width="2" style="619" customWidth="1"/>
    <col min="14082" max="14082" width="5.44140625" style="619" customWidth="1"/>
    <col min="14083" max="14083" width="9.109375" style="619" customWidth="1"/>
    <col min="14084" max="14084" width="3.44140625" style="619" customWidth="1"/>
    <col min="14085" max="14085" width="18.44140625" style="619" customWidth="1"/>
    <col min="14086" max="14089" width="9.109375" style="619" customWidth="1"/>
    <col min="14090" max="14090" width="16.44140625" style="619" customWidth="1"/>
    <col min="14091" max="14091" width="11.109375" style="619" customWidth="1"/>
    <col min="14092" max="14092" width="0.109375" style="619" customWidth="1"/>
    <col min="14093" max="14093" width="8" style="619" customWidth="1"/>
    <col min="14094" max="14094" width="4.44140625" style="619" customWidth="1"/>
    <col min="14095" max="14095" width="13.109375" style="619" customWidth="1"/>
    <col min="14096" max="14098" width="0" style="619" hidden="1" customWidth="1"/>
    <col min="14099" max="14099" width="13" style="619" bestFit="1" customWidth="1"/>
    <col min="14100" max="14101" width="13.109375" style="619" bestFit="1" customWidth="1"/>
    <col min="14102" max="14102" width="9.33203125" style="619"/>
    <col min="14103" max="14103" width="13.109375" style="619" bestFit="1" customWidth="1"/>
    <col min="14104" max="14104" width="12" style="619" bestFit="1" customWidth="1"/>
    <col min="14105" max="14336" width="9.33203125" style="619"/>
    <col min="14337" max="14337" width="2" style="619" customWidth="1"/>
    <col min="14338" max="14338" width="5.44140625" style="619" customWidth="1"/>
    <col min="14339" max="14339" width="9.109375" style="619" customWidth="1"/>
    <col min="14340" max="14340" width="3.44140625" style="619" customWidth="1"/>
    <col min="14341" max="14341" width="18.44140625" style="619" customWidth="1"/>
    <col min="14342" max="14345" width="9.109375" style="619" customWidth="1"/>
    <col min="14346" max="14346" width="16.44140625" style="619" customWidth="1"/>
    <col min="14347" max="14347" width="11.109375" style="619" customWidth="1"/>
    <col min="14348" max="14348" width="0.109375" style="619" customWidth="1"/>
    <col min="14349" max="14349" width="8" style="619" customWidth="1"/>
    <col min="14350" max="14350" width="4.44140625" style="619" customWidth="1"/>
    <col min="14351" max="14351" width="13.109375" style="619" customWidth="1"/>
    <col min="14352" max="14354" width="0" style="619" hidden="1" customWidth="1"/>
    <col min="14355" max="14355" width="13" style="619" bestFit="1" customWidth="1"/>
    <col min="14356" max="14357" width="13.109375" style="619" bestFit="1" customWidth="1"/>
    <col min="14358" max="14358" width="9.33203125" style="619"/>
    <col min="14359" max="14359" width="13.109375" style="619" bestFit="1" customWidth="1"/>
    <col min="14360" max="14360" width="12" style="619" bestFit="1" customWidth="1"/>
    <col min="14361" max="14592" width="9.33203125" style="619"/>
    <col min="14593" max="14593" width="2" style="619" customWidth="1"/>
    <col min="14594" max="14594" width="5.44140625" style="619" customWidth="1"/>
    <col min="14595" max="14595" width="9.109375" style="619" customWidth="1"/>
    <col min="14596" max="14596" width="3.44140625" style="619" customWidth="1"/>
    <col min="14597" max="14597" width="18.44140625" style="619" customWidth="1"/>
    <col min="14598" max="14601" width="9.109375" style="619" customWidth="1"/>
    <col min="14602" max="14602" width="16.44140625" style="619" customWidth="1"/>
    <col min="14603" max="14603" width="11.109375" style="619" customWidth="1"/>
    <col min="14604" max="14604" width="0.109375" style="619" customWidth="1"/>
    <col min="14605" max="14605" width="8" style="619" customWidth="1"/>
    <col min="14606" max="14606" width="4.44140625" style="619" customWidth="1"/>
    <col min="14607" max="14607" width="13.109375" style="619" customWidth="1"/>
    <col min="14608" max="14610" width="0" style="619" hidden="1" customWidth="1"/>
    <col min="14611" max="14611" width="13" style="619" bestFit="1" customWidth="1"/>
    <col min="14612" max="14613" width="13.109375" style="619" bestFit="1" customWidth="1"/>
    <col min="14614" max="14614" width="9.33203125" style="619"/>
    <col min="14615" max="14615" width="13.109375" style="619" bestFit="1" customWidth="1"/>
    <col min="14616" max="14616" width="12" style="619" bestFit="1" customWidth="1"/>
    <col min="14617" max="14848" width="9.33203125" style="619"/>
    <col min="14849" max="14849" width="2" style="619" customWidth="1"/>
    <col min="14850" max="14850" width="5.44140625" style="619" customWidth="1"/>
    <col min="14851" max="14851" width="9.109375" style="619" customWidth="1"/>
    <col min="14852" max="14852" width="3.44140625" style="619" customWidth="1"/>
    <col min="14853" max="14853" width="18.44140625" style="619" customWidth="1"/>
    <col min="14854" max="14857" width="9.109375" style="619" customWidth="1"/>
    <col min="14858" max="14858" width="16.44140625" style="619" customWidth="1"/>
    <col min="14859" max="14859" width="11.109375" style="619" customWidth="1"/>
    <col min="14860" max="14860" width="0.109375" style="619" customWidth="1"/>
    <col min="14861" max="14861" width="8" style="619" customWidth="1"/>
    <col min="14862" max="14862" width="4.44140625" style="619" customWidth="1"/>
    <col min="14863" max="14863" width="13.109375" style="619" customWidth="1"/>
    <col min="14864" max="14866" width="0" style="619" hidden="1" customWidth="1"/>
    <col min="14867" max="14867" width="13" style="619" bestFit="1" customWidth="1"/>
    <col min="14868" max="14869" width="13.109375" style="619" bestFit="1" customWidth="1"/>
    <col min="14870" max="14870" width="9.33203125" style="619"/>
    <col min="14871" max="14871" width="13.109375" style="619" bestFit="1" customWidth="1"/>
    <col min="14872" max="14872" width="12" style="619" bestFit="1" customWidth="1"/>
    <col min="14873" max="15104" width="9.33203125" style="619"/>
    <col min="15105" max="15105" width="2" style="619" customWidth="1"/>
    <col min="15106" max="15106" width="5.44140625" style="619" customWidth="1"/>
    <col min="15107" max="15107" width="9.109375" style="619" customWidth="1"/>
    <col min="15108" max="15108" width="3.44140625" style="619" customWidth="1"/>
    <col min="15109" max="15109" width="18.44140625" style="619" customWidth="1"/>
    <col min="15110" max="15113" width="9.109375" style="619" customWidth="1"/>
    <col min="15114" max="15114" width="16.44140625" style="619" customWidth="1"/>
    <col min="15115" max="15115" width="11.109375" style="619" customWidth="1"/>
    <col min="15116" max="15116" width="0.109375" style="619" customWidth="1"/>
    <col min="15117" max="15117" width="8" style="619" customWidth="1"/>
    <col min="15118" max="15118" width="4.44140625" style="619" customWidth="1"/>
    <col min="15119" max="15119" width="13.109375" style="619" customWidth="1"/>
    <col min="15120" max="15122" width="0" style="619" hidden="1" customWidth="1"/>
    <col min="15123" max="15123" width="13" style="619" bestFit="1" customWidth="1"/>
    <col min="15124" max="15125" width="13.109375" style="619" bestFit="1" customWidth="1"/>
    <col min="15126" max="15126" width="9.33203125" style="619"/>
    <col min="15127" max="15127" width="13.109375" style="619" bestFit="1" customWidth="1"/>
    <col min="15128" max="15128" width="12" style="619" bestFit="1" customWidth="1"/>
    <col min="15129" max="15360" width="9.33203125" style="619"/>
    <col min="15361" max="15361" width="2" style="619" customWidth="1"/>
    <col min="15362" max="15362" width="5.44140625" style="619" customWidth="1"/>
    <col min="15363" max="15363" width="9.109375" style="619" customWidth="1"/>
    <col min="15364" max="15364" width="3.44140625" style="619" customWidth="1"/>
    <col min="15365" max="15365" width="18.44140625" style="619" customWidth="1"/>
    <col min="15366" max="15369" width="9.109375" style="619" customWidth="1"/>
    <col min="15370" max="15370" width="16.44140625" style="619" customWidth="1"/>
    <col min="15371" max="15371" width="11.109375" style="619" customWidth="1"/>
    <col min="15372" max="15372" width="0.109375" style="619" customWidth="1"/>
    <col min="15373" max="15373" width="8" style="619" customWidth="1"/>
    <col min="15374" max="15374" width="4.44140625" style="619" customWidth="1"/>
    <col min="15375" max="15375" width="13.109375" style="619" customWidth="1"/>
    <col min="15376" max="15378" width="0" style="619" hidden="1" customWidth="1"/>
    <col min="15379" max="15379" width="13" style="619" bestFit="1" customWidth="1"/>
    <col min="15380" max="15381" width="13.109375" style="619" bestFit="1" customWidth="1"/>
    <col min="15382" max="15382" width="9.33203125" style="619"/>
    <col min="15383" max="15383" width="13.109375" style="619" bestFit="1" customWidth="1"/>
    <col min="15384" max="15384" width="12" style="619" bestFit="1" customWidth="1"/>
    <col min="15385" max="15616" width="9.33203125" style="619"/>
    <col min="15617" max="15617" width="2" style="619" customWidth="1"/>
    <col min="15618" max="15618" width="5.44140625" style="619" customWidth="1"/>
    <col min="15619" max="15619" width="9.109375" style="619" customWidth="1"/>
    <col min="15620" max="15620" width="3.44140625" style="619" customWidth="1"/>
    <col min="15621" max="15621" width="18.44140625" style="619" customWidth="1"/>
    <col min="15622" max="15625" width="9.109375" style="619" customWidth="1"/>
    <col min="15626" max="15626" width="16.44140625" style="619" customWidth="1"/>
    <col min="15627" max="15627" width="11.109375" style="619" customWidth="1"/>
    <col min="15628" max="15628" width="0.109375" style="619" customWidth="1"/>
    <col min="15629" max="15629" width="8" style="619" customWidth="1"/>
    <col min="15630" max="15630" width="4.44140625" style="619" customWidth="1"/>
    <col min="15631" max="15631" width="13.109375" style="619" customWidth="1"/>
    <col min="15632" max="15634" width="0" style="619" hidden="1" customWidth="1"/>
    <col min="15635" max="15635" width="13" style="619" bestFit="1" customWidth="1"/>
    <col min="15636" max="15637" width="13.109375" style="619" bestFit="1" customWidth="1"/>
    <col min="15638" max="15638" width="9.33203125" style="619"/>
    <col min="15639" max="15639" width="13.109375" style="619" bestFit="1" customWidth="1"/>
    <col min="15640" max="15640" width="12" style="619" bestFit="1" customWidth="1"/>
    <col min="15641" max="15872" width="9.33203125" style="619"/>
    <col min="15873" max="15873" width="2" style="619" customWidth="1"/>
    <col min="15874" max="15874" width="5.44140625" style="619" customWidth="1"/>
    <col min="15875" max="15875" width="9.109375" style="619" customWidth="1"/>
    <col min="15876" max="15876" width="3.44140625" style="619" customWidth="1"/>
    <col min="15877" max="15877" width="18.44140625" style="619" customWidth="1"/>
    <col min="15878" max="15881" width="9.109375" style="619" customWidth="1"/>
    <col min="15882" max="15882" width="16.44140625" style="619" customWidth="1"/>
    <col min="15883" max="15883" width="11.109375" style="619" customWidth="1"/>
    <col min="15884" max="15884" width="0.109375" style="619" customWidth="1"/>
    <col min="15885" max="15885" width="8" style="619" customWidth="1"/>
    <col min="15886" max="15886" width="4.44140625" style="619" customWidth="1"/>
    <col min="15887" max="15887" width="13.109375" style="619" customWidth="1"/>
    <col min="15888" max="15890" width="0" style="619" hidden="1" customWidth="1"/>
    <col min="15891" max="15891" width="13" style="619" bestFit="1" customWidth="1"/>
    <col min="15892" max="15893" width="13.109375" style="619" bestFit="1" customWidth="1"/>
    <col min="15894" max="15894" width="9.33203125" style="619"/>
    <col min="15895" max="15895" width="13.109375" style="619" bestFit="1" customWidth="1"/>
    <col min="15896" max="15896" width="12" style="619" bestFit="1" customWidth="1"/>
    <col min="15897" max="16128" width="9.33203125" style="619"/>
    <col min="16129" max="16129" width="2" style="619" customWidth="1"/>
    <col min="16130" max="16130" width="5.44140625" style="619" customWidth="1"/>
    <col min="16131" max="16131" width="9.109375" style="619" customWidth="1"/>
    <col min="16132" max="16132" width="3.44140625" style="619" customWidth="1"/>
    <col min="16133" max="16133" width="18.44140625" style="619" customWidth="1"/>
    <col min="16134" max="16137" width="9.109375" style="619" customWidth="1"/>
    <col min="16138" max="16138" width="16.44140625" style="619" customWidth="1"/>
    <col min="16139" max="16139" width="11.109375" style="619" customWidth="1"/>
    <col min="16140" max="16140" width="0.109375" style="619" customWidth="1"/>
    <col min="16141" max="16141" width="8" style="619" customWidth="1"/>
    <col min="16142" max="16142" width="4.44140625" style="619" customWidth="1"/>
    <col min="16143" max="16143" width="13.109375" style="619" customWidth="1"/>
    <col min="16144" max="16146" width="0" style="619" hidden="1" customWidth="1"/>
    <col min="16147" max="16147" width="13" style="619" bestFit="1" customWidth="1"/>
    <col min="16148" max="16149" width="13.109375" style="619" bestFit="1" customWidth="1"/>
    <col min="16150" max="16150" width="9.33203125" style="619"/>
    <col min="16151" max="16151" width="13.109375" style="619" bestFit="1" customWidth="1"/>
    <col min="16152" max="16152" width="12" style="619" bestFit="1" customWidth="1"/>
    <col min="16153" max="16384" width="9.33203125" style="619"/>
  </cols>
  <sheetData>
    <row r="2" spans="1:20" x14ac:dyDescent="0.25">
      <c r="B2" s="722" t="s">
        <v>588</v>
      </c>
      <c r="C2" s="721"/>
      <c r="D2" s="721"/>
      <c r="O2" s="720" t="s">
        <v>589</v>
      </c>
      <c r="R2" s="720"/>
      <c r="S2" s="244" t="s">
        <v>586</v>
      </c>
    </row>
    <row r="3" spans="1:20" x14ac:dyDescent="0.25">
      <c r="B3" s="721"/>
      <c r="C3" s="721"/>
      <c r="D3" s="721"/>
      <c r="O3" s="720"/>
      <c r="R3" s="720"/>
      <c r="S3" s="244" t="s">
        <v>587</v>
      </c>
      <c r="T3" s="619">
        <f>L41</f>
        <v>54116400</v>
      </c>
    </row>
    <row r="4" spans="1:20" ht="15.6" x14ac:dyDescent="0.3">
      <c r="B4" s="1573" t="s">
        <v>590</v>
      </c>
      <c r="C4" s="1573"/>
      <c r="D4" s="1573"/>
      <c r="E4" s="1573"/>
      <c r="F4" s="1573"/>
      <c r="G4" s="1573"/>
      <c r="H4" s="1573"/>
      <c r="I4" s="1573"/>
      <c r="J4" s="1573"/>
      <c r="K4" s="1573"/>
      <c r="L4" s="1573"/>
      <c r="M4" s="1573"/>
      <c r="N4" s="1573"/>
      <c r="O4" s="1573"/>
      <c r="P4" s="1573"/>
      <c r="Q4" s="1573"/>
      <c r="R4" s="1573"/>
    </row>
    <row r="5" spans="1:20" x14ac:dyDescent="0.25"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</row>
    <row r="6" spans="1:20" x14ac:dyDescent="0.25">
      <c r="B6" s="623" t="s">
        <v>535</v>
      </c>
      <c r="C6" s="623"/>
      <c r="D6" s="620" t="s">
        <v>137</v>
      </c>
      <c r="E6" s="716" t="str">
        <f>+[16]INPUT!L6</f>
        <v>Jawa Timur</v>
      </c>
      <c r="F6" s="718"/>
      <c r="G6" s="718"/>
      <c r="H6" s="718"/>
      <c r="I6" s="718"/>
      <c r="N6" s="716"/>
      <c r="O6" s="716"/>
      <c r="P6" s="716"/>
      <c r="Q6" s="716"/>
    </row>
    <row r="7" spans="1:20" x14ac:dyDescent="0.25">
      <c r="B7" s="623" t="s">
        <v>536</v>
      </c>
      <c r="C7" s="623"/>
      <c r="D7" s="620" t="s">
        <v>137</v>
      </c>
      <c r="E7" s="716" t="str">
        <f>+[16]INPUT!L7</f>
        <v>Malang</v>
      </c>
      <c r="F7" s="718"/>
      <c r="G7" s="718"/>
      <c r="H7" s="718"/>
      <c r="I7" s="718"/>
      <c r="J7" s="717"/>
      <c r="K7" s="717" t="s">
        <v>591</v>
      </c>
      <c r="L7" s="716"/>
      <c r="M7" s="716">
        <f>[16]INPUT!L10</f>
        <v>0</v>
      </c>
      <c r="N7" s="716"/>
      <c r="O7" s="716"/>
      <c r="P7" s="716"/>
      <c r="Q7" s="716"/>
    </row>
    <row r="8" spans="1:20" x14ac:dyDescent="0.25">
      <c r="B8" s="623" t="s">
        <v>538</v>
      </c>
      <c r="C8" s="623"/>
      <c r="D8" s="620" t="s">
        <v>137</v>
      </c>
      <c r="E8" s="716" t="str">
        <f>+[16]INPUT!L8</f>
        <v>Wagir</v>
      </c>
      <c r="F8" s="718"/>
      <c r="G8" s="718"/>
      <c r="H8" s="718"/>
      <c r="I8" s="718"/>
      <c r="J8" s="717"/>
      <c r="K8" s="717" t="s">
        <v>592</v>
      </c>
      <c r="L8" s="716" t="e">
        <f>#REF!</f>
        <v>#REF!</v>
      </c>
      <c r="M8" s="716" t="s">
        <v>593</v>
      </c>
      <c r="N8" s="716"/>
      <c r="O8" s="716"/>
      <c r="P8" s="716"/>
      <c r="Q8" s="716"/>
    </row>
    <row r="9" spans="1:20" x14ac:dyDescent="0.25">
      <c r="B9" s="623" t="s">
        <v>43</v>
      </c>
      <c r="C9" s="623"/>
      <c r="D9" s="620" t="s">
        <v>137</v>
      </c>
      <c r="E9" s="716" t="str">
        <f>+[16]INPUT!L9</f>
        <v>Pandanlandung</v>
      </c>
      <c r="F9" s="714"/>
      <c r="G9" s="714"/>
      <c r="H9" s="714"/>
      <c r="I9" s="714"/>
      <c r="J9" s="717"/>
      <c r="K9" s="717" t="s">
        <v>594</v>
      </c>
      <c r="L9" s="716" t="e">
        <f>#REF!</f>
        <v>#REF!</v>
      </c>
      <c r="M9" s="715">
        <f>'[16]TOS PAVING'!H80</f>
        <v>110</v>
      </c>
      <c r="N9" s="714" t="s">
        <v>595</v>
      </c>
      <c r="O9" s="715"/>
      <c r="P9" s="714" t="s">
        <v>313</v>
      </c>
      <c r="Q9" s="714"/>
      <c r="R9" s="714"/>
    </row>
    <row r="10" spans="1:20" ht="13.8" thickBot="1" x14ac:dyDescent="0.3">
      <c r="B10" s="623"/>
      <c r="C10" s="623"/>
      <c r="E10" s="716"/>
      <c r="F10" s="714"/>
      <c r="G10" s="714"/>
      <c r="H10" s="714"/>
      <c r="I10" s="714"/>
      <c r="J10" s="717"/>
      <c r="K10" s="717"/>
      <c r="L10" s="716"/>
      <c r="M10" s="715"/>
      <c r="N10" s="714"/>
      <c r="O10" s="715"/>
      <c r="P10" s="714"/>
      <c r="Q10" s="714"/>
      <c r="R10" s="714"/>
    </row>
    <row r="11" spans="1:20" s="710" customFormat="1" ht="14.25" customHeight="1" thickBot="1" x14ac:dyDescent="0.3">
      <c r="A11" s="619"/>
      <c r="B11" s="1543" t="s">
        <v>540</v>
      </c>
      <c r="C11" s="1544"/>
      <c r="D11" s="1544"/>
      <c r="E11" s="1545"/>
      <c r="F11" s="1555" t="s">
        <v>541</v>
      </c>
      <c r="G11" s="1556"/>
      <c r="H11" s="1556"/>
      <c r="I11" s="1549" t="s">
        <v>542</v>
      </c>
      <c r="J11" s="1551" t="s">
        <v>596</v>
      </c>
      <c r="K11" s="1552"/>
      <c r="L11" s="1537" t="s">
        <v>597</v>
      </c>
      <c r="M11" s="1527" t="s">
        <v>598</v>
      </c>
      <c r="N11" s="1528"/>
      <c r="O11" s="1529"/>
      <c r="P11" s="1527" t="s">
        <v>599</v>
      </c>
      <c r="Q11" s="1528"/>
      <c r="R11" s="1529"/>
    </row>
    <row r="12" spans="1:20" s="710" customFormat="1" ht="48.75" customHeight="1" thickBot="1" x14ac:dyDescent="0.3">
      <c r="A12" s="619"/>
      <c r="B12" s="1546"/>
      <c r="C12" s="1547"/>
      <c r="D12" s="1547"/>
      <c r="E12" s="1548"/>
      <c r="F12" s="713" t="s">
        <v>600</v>
      </c>
      <c r="G12" s="712" t="s">
        <v>601</v>
      </c>
      <c r="H12" s="711" t="s">
        <v>168</v>
      </c>
      <c r="I12" s="1550"/>
      <c r="J12" s="1553"/>
      <c r="K12" s="1554"/>
      <c r="L12" s="1538"/>
      <c r="M12" s="1530"/>
      <c r="N12" s="1531"/>
      <c r="O12" s="1532"/>
      <c r="P12" s="1530"/>
      <c r="Q12" s="1531"/>
      <c r="R12" s="1532"/>
    </row>
    <row r="13" spans="1:20" ht="13.8" thickBot="1" x14ac:dyDescent="0.3">
      <c r="B13" s="708"/>
      <c r="C13" s="1534" t="s">
        <v>395</v>
      </c>
      <c r="D13" s="1534"/>
      <c r="E13" s="1534"/>
      <c r="F13" s="1533" t="s">
        <v>396</v>
      </c>
      <c r="G13" s="1534"/>
      <c r="H13" s="1535"/>
      <c r="I13" s="707" t="s">
        <v>602</v>
      </c>
      <c r="J13" s="1533" t="s">
        <v>30</v>
      </c>
      <c r="K13" s="1541"/>
      <c r="L13" s="709"/>
      <c r="M13" s="1536" t="s">
        <v>603</v>
      </c>
      <c r="N13" s="1534"/>
      <c r="O13" s="1535"/>
      <c r="P13" s="1533" t="s">
        <v>31</v>
      </c>
      <c r="Q13" s="1534"/>
      <c r="R13" s="1535"/>
    </row>
    <row r="14" spans="1:20" ht="12.75" customHeight="1" x14ac:dyDescent="0.25">
      <c r="B14" s="706" t="s">
        <v>604</v>
      </c>
      <c r="C14" s="1542" t="s">
        <v>545</v>
      </c>
      <c r="D14" s="1542"/>
      <c r="E14" s="1542"/>
      <c r="F14" s="705"/>
      <c r="G14" s="703"/>
      <c r="H14" s="704"/>
      <c r="I14" s="703"/>
      <c r="J14" s="1539"/>
      <c r="K14" s="1540"/>
      <c r="L14" s="702"/>
      <c r="M14" s="701"/>
      <c r="N14" s="700"/>
      <c r="O14" s="699"/>
      <c r="P14" s="701"/>
      <c r="Q14" s="700"/>
      <c r="R14" s="699"/>
    </row>
    <row r="15" spans="1:20" x14ac:dyDescent="0.25">
      <c r="B15" s="656"/>
      <c r="C15" s="1524" t="s">
        <v>282</v>
      </c>
      <c r="D15" s="1524"/>
      <c r="E15" s="1524"/>
      <c r="F15" s="661">
        <f>[16]ANALISA!D106</f>
        <v>27</v>
      </c>
      <c r="G15" s="683"/>
      <c r="H15" s="661">
        <f t="shared" ref="H15:H24" si="0">F15-G15</f>
        <v>27</v>
      </c>
      <c r="I15" s="698" t="s">
        <v>311</v>
      </c>
      <c r="J15" s="1557">
        <f>'[16]DAFTAR HARGA'!N15</f>
        <v>138600</v>
      </c>
      <c r="K15" s="1526"/>
      <c r="L15" s="632">
        <f>G15*J15</f>
        <v>0</v>
      </c>
      <c r="M15" s="1514">
        <f t="shared" ref="M15:M24" si="1">H15*J15</f>
        <v>3742200</v>
      </c>
      <c r="N15" s="1515"/>
      <c r="O15" s="1516"/>
      <c r="P15" s="1514">
        <f>M15</f>
        <v>3742200</v>
      </c>
      <c r="Q15" s="1515"/>
      <c r="R15" s="1516"/>
    </row>
    <row r="16" spans="1:20" x14ac:dyDescent="0.25">
      <c r="B16" s="656"/>
      <c r="C16" s="639" t="str">
        <f>[16]ANALISA!B108</f>
        <v>Pasir Beton</v>
      </c>
      <c r="D16" s="639"/>
      <c r="E16" s="639"/>
      <c r="F16" s="658">
        <f>[16]ANALISA!D108</f>
        <v>1</v>
      </c>
      <c r="G16" s="696"/>
      <c r="H16" s="661">
        <f t="shared" si="0"/>
        <v>1</v>
      </c>
      <c r="I16" s="695" t="s">
        <v>311</v>
      </c>
      <c r="J16" s="697"/>
      <c r="K16" s="660">
        <f>'[16]DAFTAR HARGA'!N13</f>
        <v>293100</v>
      </c>
      <c r="L16" s="632"/>
      <c r="M16" s="1514">
        <f>H16*K16</f>
        <v>293100</v>
      </c>
      <c r="N16" s="1515"/>
      <c r="O16" s="1516"/>
      <c r="P16" s="631"/>
      <c r="Q16" s="630"/>
      <c r="R16" s="629"/>
    </row>
    <row r="17" spans="2:18" x14ac:dyDescent="0.25">
      <c r="B17" s="656"/>
      <c r="C17" s="639" t="str">
        <f>[16]ANALISA!B109</f>
        <v>Batu Pecah 2-3/Koral Beton</v>
      </c>
      <c r="D17" s="639"/>
      <c r="E17" s="639"/>
      <c r="F17" s="658">
        <f>[16]ANALISA!D109</f>
        <v>2</v>
      </c>
      <c r="G17" s="696"/>
      <c r="H17" s="661">
        <f t="shared" si="0"/>
        <v>2</v>
      </c>
      <c r="I17" s="695" t="s">
        <v>311</v>
      </c>
      <c r="J17" s="697"/>
      <c r="K17" s="660">
        <f>'[16]DAFTAR HARGA'!N17</f>
        <v>295400</v>
      </c>
      <c r="L17" s="632"/>
      <c r="M17" s="1514">
        <f>H17*K17</f>
        <v>590800</v>
      </c>
      <c r="N17" s="1515"/>
      <c r="O17" s="1516"/>
      <c r="P17" s="631"/>
      <c r="Q17" s="630"/>
      <c r="R17" s="629"/>
    </row>
    <row r="18" spans="2:18" x14ac:dyDescent="0.25">
      <c r="B18" s="656"/>
      <c r="C18" s="639" t="s">
        <v>605</v>
      </c>
      <c r="D18" s="639"/>
      <c r="E18" s="639"/>
      <c r="F18" s="658">
        <f>[16]ANALISA!D110</f>
        <v>17</v>
      </c>
      <c r="G18" s="696"/>
      <c r="H18" s="661">
        <f t="shared" si="0"/>
        <v>17</v>
      </c>
      <c r="I18" s="695" t="s">
        <v>312</v>
      </c>
      <c r="J18" s="1560">
        <f>'[16]DAFTAR HARGA'!N18</f>
        <v>76800</v>
      </c>
      <c r="K18" s="1559"/>
      <c r="L18" s="632">
        <f>G18*J18</f>
        <v>0</v>
      </c>
      <c r="M18" s="1514">
        <f t="shared" si="1"/>
        <v>1305600</v>
      </c>
      <c r="N18" s="1515"/>
      <c r="O18" s="1516"/>
      <c r="P18" s="1514">
        <f>M18</f>
        <v>1305600</v>
      </c>
      <c r="Q18" s="1515"/>
      <c r="R18" s="1516"/>
    </row>
    <row r="19" spans="2:18" x14ac:dyDescent="0.25">
      <c r="B19" s="656"/>
      <c r="C19" s="639" t="str">
        <f>[16]ANALISA!B107</f>
        <v>Paving T = 6</v>
      </c>
      <c r="D19" s="639"/>
      <c r="E19" s="639"/>
      <c r="F19" s="658">
        <f>[16]ANALISA!D107</f>
        <v>310</v>
      </c>
      <c r="G19" s="696"/>
      <c r="H19" s="661">
        <f t="shared" si="0"/>
        <v>310</v>
      </c>
      <c r="I19" s="695" t="s">
        <v>313</v>
      </c>
      <c r="J19" s="657"/>
      <c r="K19" s="633">
        <f>'[16]DAFTAR HARGA'!N27</f>
        <v>67400</v>
      </c>
      <c r="L19" s="632"/>
      <c r="M19" s="631"/>
      <c r="N19" s="630"/>
      <c r="O19" s="629">
        <f>H19*K19</f>
        <v>20894000</v>
      </c>
      <c r="P19" s="631"/>
      <c r="Q19" s="630"/>
      <c r="R19" s="629"/>
    </row>
    <row r="20" spans="2:18" x14ac:dyDescent="0.25">
      <c r="B20" s="656"/>
      <c r="C20" s="639" t="str">
        <f>[16]ANALISA!B113</f>
        <v>Besi Buis Beton D 30</v>
      </c>
      <c r="D20" s="639"/>
      <c r="E20" s="639"/>
      <c r="F20" s="658">
        <f>[16]ANALISA!D113</f>
        <v>110</v>
      </c>
      <c r="G20" s="696"/>
      <c r="H20" s="661">
        <f t="shared" si="0"/>
        <v>110</v>
      </c>
      <c r="I20" s="695" t="s">
        <v>317</v>
      </c>
      <c r="J20" s="1560">
        <f>'[16]DAFTAR HARGA'!N23</f>
        <v>106400</v>
      </c>
      <c r="K20" s="1559"/>
      <c r="L20" s="632"/>
      <c r="M20" s="1514">
        <f t="shared" si="1"/>
        <v>11704000</v>
      </c>
      <c r="N20" s="1515"/>
      <c r="O20" s="1516"/>
      <c r="P20" s="631"/>
      <c r="Q20" s="630"/>
      <c r="R20" s="629"/>
    </row>
    <row r="21" spans="2:18" x14ac:dyDescent="0.25">
      <c r="B21" s="656"/>
      <c r="C21" s="639" t="str">
        <f>[16]ANALISA!B111</f>
        <v xml:space="preserve">Bata merah </v>
      </c>
      <c r="D21" s="639"/>
      <c r="E21" s="639"/>
      <c r="F21" s="658">
        <f>[16]ANALISA!D111</f>
        <v>745</v>
      </c>
      <c r="G21" s="658"/>
      <c r="H21" s="661">
        <f t="shared" si="0"/>
        <v>745</v>
      </c>
      <c r="I21" s="694" t="s">
        <v>317</v>
      </c>
      <c r="J21" s="1558">
        <f>'[16]DAFTAR HARGA'!N19</f>
        <v>900</v>
      </c>
      <c r="K21" s="1559"/>
      <c r="L21" s="632">
        <f>G21*J21</f>
        <v>0</v>
      </c>
      <c r="M21" s="1514">
        <f t="shared" si="1"/>
        <v>670500</v>
      </c>
      <c r="N21" s="1515"/>
      <c r="O21" s="1516"/>
      <c r="P21" s="1514">
        <f>M21</f>
        <v>670500</v>
      </c>
      <c r="Q21" s="1515"/>
      <c r="R21" s="1516"/>
    </row>
    <row r="22" spans="2:18" x14ac:dyDescent="0.25">
      <c r="B22" s="656"/>
      <c r="C22" s="639" t="str">
        <f>'[16]DAFTAR HARGA'!B29</f>
        <v>Griil Besi</v>
      </c>
      <c r="D22" s="639"/>
      <c r="E22" s="639"/>
      <c r="F22" s="658">
        <f>[16]ANALISA!D116</f>
        <v>5</v>
      </c>
      <c r="G22" s="696"/>
      <c r="H22" s="661">
        <f t="shared" si="0"/>
        <v>5</v>
      </c>
      <c r="I22" s="695" t="s">
        <v>313</v>
      </c>
      <c r="J22" s="634"/>
      <c r="K22" s="633">
        <f>'[16]DAFTAR HARGA'!N29</f>
        <v>413500</v>
      </c>
      <c r="L22" s="632"/>
      <c r="M22" s="631"/>
      <c r="N22" s="630"/>
      <c r="O22" s="629">
        <f>H22*K22</f>
        <v>2067500</v>
      </c>
      <c r="P22" s="693"/>
      <c r="Q22" s="692"/>
      <c r="R22" s="691"/>
    </row>
    <row r="23" spans="2:18" x14ac:dyDescent="0.25">
      <c r="B23" s="656"/>
      <c r="C23" s="639" t="s">
        <v>606</v>
      </c>
      <c r="D23" s="639"/>
      <c r="E23" s="639"/>
      <c r="F23" s="658">
        <v>1</v>
      </c>
      <c r="G23" s="696"/>
      <c r="H23" s="661">
        <f t="shared" si="0"/>
        <v>1</v>
      </c>
      <c r="I23" s="695" t="s">
        <v>317</v>
      </c>
      <c r="J23" s="1560">
        <f>'[16]DAFTAR HARGA'!N35</f>
        <v>173900</v>
      </c>
      <c r="K23" s="1559"/>
      <c r="L23" s="632"/>
      <c r="M23" s="1514">
        <f t="shared" si="1"/>
        <v>173900</v>
      </c>
      <c r="N23" s="1515"/>
      <c r="O23" s="1516"/>
      <c r="P23" s="693"/>
      <c r="Q23" s="692"/>
      <c r="R23" s="691"/>
    </row>
    <row r="24" spans="2:18" ht="13.8" thickBot="1" x14ac:dyDescent="0.3">
      <c r="B24" s="656"/>
      <c r="C24" s="639" t="s">
        <v>320</v>
      </c>
      <c r="D24" s="639"/>
      <c r="E24" s="639"/>
      <c r="F24" s="658">
        <v>1</v>
      </c>
      <c r="G24" s="658"/>
      <c r="H24" s="661">
        <f t="shared" si="0"/>
        <v>1</v>
      </c>
      <c r="I24" s="694" t="s">
        <v>607</v>
      </c>
      <c r="J24" s="1558">
        <f>'[16]DAFTAR HARGA'!N36</f>
        <v>521500</v>
      </c>
      <c r="K24" s="1559"/>
      <c r="L24" s="632">
        <f>G24*J24</f>
        <v>0</v>
      </c>
      <c r="M24" s="1514">
        <f t="shared" si="1"/>
        <v>521500</v>
      </c>
      <c r="N24" s="1515"/>
      <c r="O24" s="1516"/>
      <c r="P24" s="693"/>
      <c r="Q24" s="692"/>
      <c r="R24" s="691"/>
    </row>
    <row r="25" spans="2:18" ht="13.8" thickBot="1" x14ac:dyDescent="0.3">
      <c r="B25" s="1520" t="s">
        <v>608</v>
      </c>
      <c r="C25" s="1521"/>
      <c r="D25" s="1521"/>
      <c r="E25" s="1521"/>
      <c r="F25" s="1521"/>
      <c r="G25" s="1521"/>
      <c r="H25" s="1521"/>
      <c r="I25" s="1521"/>
      <c r="J25" s="1521"/>
      <c r="K25" s="1522"/>
      <c r="L25" s="628">
        <f>SUM(L15:L21)</f>
        <v>0</v>
      </c>
      <c r="M25" s="1509">
        <f>SUM(M15:O21)</f>
        <v>39200200</v>
      </c>
      <c r="N25" s="1512"/>
      <c r="O25" s="1513"/>
      <c r="P25" s="1509">
        <f>SUM(P15:R21)</f>
        <v>5718300</v>
      </c>
      <c r="Q25" s="1512"/>
      <c r="R25" s="1513"/>
    </row>
    <row r="26" spans="2:18" ht="13.5" customHeight="1" x14ac:dyDescent="0.25">
      <c r="B26" s="669" t="s">
        <v>609</v>
      </c>
      <c r="C26" s="1523" t="s">
        <v>610</v>
      </c>
      <c r="D26" s="1523"/>
      <c r="E26" s="1523"/>
      <c r="F26" s="667"/>
      <c r="G26" s="668"/>
      <c r="H26" s="667"/>
      <c r="I26" s="667"/>
      <c r="J26" s="1567"/>
      <c r="K26" s="1568"/>
      <c r="L26" s="666"/>
      <c r="M26" s="665"/>
      <c r="N26" s="664"/>
      <c r="O26" s="663"/>
      <c r="P26" s="665"/>
      <c r="Q26" s="664"/>
      <c r="R26" s="663"/>
    </row>
    <row r="27" spans="2:18" ht="13.8" x14ac:dyDescent="0.25">
      <c r="B27" s="640"/>
      <c r="C27" s="690" t="s">
        <v>562</v>
      </c>
      <c r="D27" s="689"/>
      <c r="E27" s="688"/>
      <c r="F27" s="661">
        <v>5</v>
      </c>
      <c r="G27" s="683">
        <v>0</v>
      </c>
      <c r="H27" s="661">
        <f>F27</f>
        <v>5</v>
      </c>
      <c r="I27" s="682" t="s">
        <v>317</v>
      </c>
      <c r="J27" s="1569">
        <f>'[16]DAFTAR HARGA'!N48</f>
        <v>11600</v>
      </c>
      <c r="K27" s="1570"/>
      <c r="L27" s="632">
        <f>G27*J27</f>
        <v>0</v>
      </c>
      <c r="M27" s="1517">
        <f>H27*J27</f>
        <v>58000</v>
      </c>
      <c r="N27" s="1518"/>
      <c r="O27" s="1519"/>
      <c r="P27" s="1517">
        <f>M27</f>
        <v>58000</v>
      </c>
      <c r="Q27" s="1518"/>
      <c r="R27" s="1519"/>
    </row>
    <row r="28" spans="2:18" ht="13.8" x14ac:dyDescent="0.25">
      <c r="B28" s="681"/>
      <c r="C28" s="690" t="s">
        <v>563</v>
      </c>
      <c r="D28" s="689"/>
      <c r="E28" s="688"/>
      <c r="F28" s="661">
        <v>0</v>
      </c>
      <c r="G28" s="683">
        <v>0</v>
      </c>
      <c r="H28" s="661">
        <f>F28</f>
        <v>0</v>
      </c>
      <c r="I28" s="682" t="s">
        <v>316</v>
      </c>
      <c r="J28" s="1569">
        <f>'[16]DAFTAR HARGA'!N37</f>
        <v>3500</v>
      </c>
      <c r="K28" s="1570"/>
      <c r="L28" s="632">
        <f>G28*J28</f>
        <v>0</v>
      </c>
      <c r="M28" s="1517">
        <f>H28*J28</f>
        <v>0</v>
      </c>
      <c r="N28" s="1518"/>
      <c r="O28" s="1519"/>
      <c r="P28" s="1517">
        <f>M28</f>
        <v>0</v>
      </c>
      <c r="Q28" s="1518"/>
      <c r="R28" s="1519"/>
    </row>
    <row r="29" spans="2:18" ht="13.8" x14ac:dyDescent="0.25">
      <c r="B29" s="681"/>
      <c r="C29" s="690" t="s">
        <v>564</v>
      </c>
      <c r="D29" s="689"/>
      <c r="E29" s="688"/>
      <c r="F29" s="661">
        <v>1</v>
      </c>
      <c r="G29" s="683">
        <v>0</v>
      </c>
      <c r="H29" s="661">
        <f>F29</f>
        <v>1</v>
      </c>
      <c r="I29" s="682" t="s">
        <v>317</v>
      </c>
      <c r="J29" s="1569">
        <f>'[16]DAFTAR HARGA'!N38</f>
        <v>869100</v>
      </c>
      <c r="K29" s="1570"/>
      <c r="L29" s="632">
        <f>G29*J29</f>
        <v>0</v>
      </c>
      <c r="M29" s="1517">
        <f>H29*J29</f>
        <v>869100</v>
      </c>
      <c r="N29" s="1518"/>
      <c r="O29" s="1519"/>
      <c r="P29" s="1517">
        <f>M29</f>
        <v>869100</v>
      </c>
      <c r="Q29" s="1518"/>
      <c r="R29" s="1519"/>
    </row>
    <row r="30" spans="2:18" ht="14.4" thickBot="1" x14ac:dyDescent="0.3">
      <c r="B30" s="681"/>
      <c r="C30" s="680" t="s">
        <v>611</v>
      </c>
      <c r="D30" s="679"/>
      <c r="E30" s="678"/>
      <c r="F30" s="676">
        <v>3</v>
      </c>
      <c r="G30" s="677">
        <v>0</v>
      </c>
      <c r="H30" s="676">
        <f>F30</f>
        <v>3</v>
      </c>
      <c r="I30" s="675" t="s">
        <v>317</v>
      </c>
      <c r="J30" s="1569">
        <f>'[16]DAFTAR HARGA'!N39</f>
        <v>4700</v>
      </c>
      <c r="K30" s="1570"/>
      <c r="L30" s="632">
        <f>G30*J30</f>
        <v>0</v>
      </c>
      <c r="M30" s="1517">
        <f>H30*J30</f>
        <v>14100</v>
      </c>
      <c r="N30" s="1518"/>
      <c r="O30" s="1519"/>
      <c r="P30" s="1517">
        <f>M30</f>
        <v>14100</v>
      </c>
      <c r="Q30" s="1518"/>
      <c r="R30" s="1519"/>
    </row>
    <row r="31" spans="2:18" ht="13.8" thickBot="1" x14ac:dyDescent="0.3">
      <c r="B31" s="1520" t="s">
        <v>566</v>
      </c>
      <c r="C31" s="1521"/>
      <c r="D31" s="1521"/>
      <c r="E31" s="1521"/>
      <c r="F31" s="1521"/>
      <c r="G31" s="1521"/>
      <c r="H31" s="1521"/>
      <c r="I31" s="1521"/>
      <c r="J31" s="1521"/>
      <c r="K31" s="1522"/>
      <c r="L31" s="628">
        <f>SUM(L27:L30)</f>
        <v>0</v>
      </c>
      <c r="M31" s="1509">
        <f>SUM(M27:O30)</f>
        <v>941200</v>
      </c>
      <c r="N31" s="1512"/>
      <c r="O31" s="1513"/>
      <c r="P31" s="1509">
        <f>SUM(P27:R30)</f>
        <v>941200</v>
      </c>
      <c r="Q31" s="1512"/>
      <c r="R31" s="1513"/>
    </row>
    <row r="32" spans="2:18" ht="13.5" customHeight="1" x14ac:dyDescent="0.25">
      <c r="B32" s="669" t="s">
        <v>612</v>
      </c>
      <c r="C32" s="1523" t="s">
        <v>613</v>
      </c>
      <c r="D32" s="1523"/>
      <c r="E32" s="1523"/>
      <c r="F32" s="667"/>
      <c r="G32" s="668"/>
      <c r="H32" s="667"/>
      <c r="I32" s="667"/>
      <c r="J32" s="1567"/>
      <c r="K32" s="1568"/>
      <c r="L32" s="666"/>
      <c r="M32" s="665"/>
      <c r="N32" s="664"/>
      <c r="O32" s="663"/>
      <c r="P32" s="665"/>
      <c r="Q32" s="664"/>
      <c r="R32" s="663"/>
    </row>
    <row r="33" spans="2:21" x14ac:dyDescent="0.25">
      <c r="B33" s="656" t="s">
        <v>614</v>
      </c>
      <c r="C33" s="1524" t="s">
        <v>570</v>
      </c>
      <c r="D33" s="1524"/>
      <c r="E33" s="1524"/>
      <c r="F33" s="661">
        <f>[16]ANALISA!D119</f>
        <v>39</v>
      </c>
      <c r="G33" s="662">
        <v>0</v>
      </c>
      <c r="H33" s="661">
        <f>F33-G33</f>
        <v>39</v>
      </c>
      <c r="I33" s="635" t="s">
        <v>319</v>
      </c>
      <c r="J33" s="1525">
        <f>'[16]DAFTAR HARGA'!E53</f>
        <v>125000</v>
      </c>
      <c r="K33" s="1526"/>
      <c r="L33" s="653">
        <f>G33*J33</f>
        <v>0</v>
      </c>
      <c r="M33" s="1514">
        <f>H33*J33</f>
        <v>4875000</v>
      </c>
      <c r="N33" s="1515"/>
      <c r="O33" s="1516"/>
      <c r="P33" s="1514">
        <f>M33</f>
        <v>4875000</v>
      </c>
      <c r="Q33" s="1515"/>
      <c r="R33" s="1516"/>
    </row>
    <row r="34" spans="2:21" x14ac:dyDescent="0.25">
      <c r="B34" s="659" t="s">
        <v>615</v>
      </c>
      <c r="C34" s="639" t="s">
        <v>568</v>
      </c>
      <c r="D34" s="639"/>
      <c r="E34" s="639"/>
      <c r="F34" s="658">
        <f>[16]ANALISA!D118</f>
        <v>87</v>
      </c>
      <c r="G34" s="637"/>
      <c r="H34" s="658">
        <f>F34</f>
        <v>87</v>
      </c>
      <c r="I34" s="635" t="s">
        <v>319</v>
      </c>
      <c r="J34" s="1560">
        <f>'[16]DAFTAR HARGA'!E52</f>
        <v>100000</v>
      </c>
      <c r="K34" s="1559"/>
      <c r="L34" s="653"/>
      <c r="M34" s="1514">
        <f>H34*J34</f>
        <v>8700000</v>
      </c>
      <c r="N34" s="1515"/>
      <c r="O34" s="1516"/>
      <c r="P34" s="1514">
        <f>M34</f>
        <v>8700000</v>
      </c>
      <c r="Q34" s="1515"/>
      <c r="R34" s="1516"/>
    </row>
    <row r="35" spans="2:21" ht="13.8" thickBot="1" x14ac:dyDescent="0.3">
      <c r="B35" s="656"/>
      <c r="C35" s="639"/>
      <c r="D35" s="639"/>
      <c r="E35" s="639"/>
      <c r="F35" s="655"/>
      <c r="G35" s="637"/>
      <c r="H35" s="655"/>
      <c r="I35" s="654"/>
      <c r="J35" s="1558"/>
      <c r="K35" s="1559"/>
      <c r="L35" s="653"/>
      <c r="M35" s="1514"/>
      <c r="N35" s="1515"/>
      <c r="O35" s="1516"/>
      <c r="P35" s="1514"/>
      <c r="Q35" s="1515"/>
      <c r="R35" s="1516"/>
    </row>
    <row r="36" spans="2:21" ht="13.5" customHeight="1" thickBot="1" x14ac:dyDescent="0.3">
      <c r="B36" s="1564" t="s">
        <v>571</v>
      </c>
      <c r="C36" s="1565"/>
      <c r="D36" s="1565"/>
      <c r="E36" s="1565"/>
      <c r="F36" s="1565"/>
      <c r="G36" s="1565"/>
      <c r="H36" s="1565"/>
      <c r="I36" s="1565"/>
      <c r="J36" s="1565"/>
      <c r="K36" s="1566"/>
      <c r="L36" s="628">
        <f>SUM(L33:L35)</f>
        <v>0</v>
      </c>
      <c r="M36" s="1509">
        <f>SUM(M33:O35)</f>
        <v>13575000</v>
      </c>
      <c r="N36" s="1510"/>
      <c r="O36" s="1511"/>
      <c r="P36" s="1509">
        <f>SUM(P33:R35)</f>
        <v>13575000</v>
      </c>
      <c r="Q36" s="1510"/>
      <c r="R36" s="1511"/>
    </row>
    <row r="37" spans="2:21" s="652" customFormat="1" x14ac:dyDescent="0.25">
      <c r="B37" s="640"/>
      <c r="C37" s="639"/>
      <c r="D37" s="639"/>
      <c r="E37" s="639"/>
      <c r="F37" s="638"/>
      <c r="G37" s="637"/>
      <c r="H37" s="636"/>
      <c r="I37" s="635"/>
      <c r="J37" s="1558"/>
      <c r="K37" s="1559"/>
      <c r="L37" s="632"/>
      <c r="M37" s="1514"/>
      <c r="N37" s="1515"/>
      <c r="O37" s="1516"/>
      <c r="P37" s="1514"/>
      <c r="Q37" s="1515"/>
      <c r="R37" s="1516"/>
    </row>
    <row r="38" spans="2:21" x14ac:dyDescent="0.25">
      <c r="B38" s="651" t="s">
        <v>616</v>
      </c>
      <c r="C38" s="650" t="s">
        <v>617</v>
      </c>
      <c r="D38" s="650"/>
      <c r="E38" s="650"/>
      <c r="F38" s="638"/>
      <c r="G38" s="649"/>
      <c r="H38" s="648"/>
      <c r="I38" s="647"/>
      <c r="J38" s="646"/>
      <c r="K38" s="645"/>
      <c r="L38" s="644"/>
      <c r="M38" s="643"/>
      <c r="N38" s="642"/>
      <c r="O38" s="641"/>
      <c r="P38" s="643"/>
      <c r="Q38" s="642"/>
      <c r="R38" s="641"/>
    </row>
    <row r="39" spans="2:21" ht="13.8" thickBot="1" x14ac:dyDescent="0.3">
      <c r="B39" s="640"/>
      <c r="C39" s="639" t="s">
        <v>618</v>
      </c>
      <c r="D39" s="639"/>
      <c r="E39" s="639"/>
      <c r="F39" s="638">
        <v>2</v>
      </c>
      <c r="G39" s="637"/>
      <c r="H39" s="636">
        <f>F39</f>
        <v>2</v>
      </c>
      <c r="I39" s="635" t="s">
        <v>580</v>
      </c>
      <c r="J39" s="1558">
        <f>'[16]DAFTAR HARGA'!N54</f>
        <v>200000</v>
      </c>
      <c r="K39" s="1559"/>
      <c r="L39" s="632"/>
      <c r="M39" s="1514">
        <f>H39*J39</f>
        <v>400000</v>
      </c>
      <c r="N39" s="1515"/>
      <c r="O39" s="1516"/>
      <c r="P39" s="1514"/>
      <c r="Q39" s="1515"/>
      <c r="R39" s="1516"/>
    </row>
    <row r="40" spans="2:21" ht="13.8" thickBot="1" x14ac:dyDescent="0.3">
      <c r="B40" s="1564" t="s">
        <v>581</v>
      </c>
      <c r="C40" s="1565"/>
      <c r="D40" s="1565"/>
      <c r="E40" s="1565"/>
      <c r="F40" s="1565"/>
      <c r="G40" s="1565"/>
      <c r="H40" s="1565"/>
      <c r="I40" s="1565"/>
      <c r="J40" s="1565"/>
      <c r="K40" s="1566"/>
      <c r="L40" s="628">
        <f>SUM(L37:L39)</f>
        <v>0</v>
      </c>
      <c r="M40" s="1509">
        <f>SUM(M37:O39)</f>
        <v>400000</v>
      </c>
      <c r="N40" s="1510"/>
      <c r="O40" s="1511"/>
      <c r="P40" s="1509">
        <f>SUM(P37:R39)</f>
        <v>0</v>
      </c>
      <c r="Q40" s="1510"/>
      <c r="R40" s="1511"/>
      <c r="S40" s="627"/>
      <c r="T40" s="619" t="s">
        <v>619</v>
      </c>
    </row>
    <row r="41" spans="2:21" ht="14.25" customHeight="1" thickBot="1" x14ac:dyDescent="0.3">
      <c r="B41" s="1562" t="s">
        <v>582</v>
      </c>
      <c r="C41" s="1563"/>
      <c r="D41" s="1563"/>
      <c r="E41" s="1563"/>
      <c r="F41" s="1563"/>
      <c r="G41" s="1563"/>
      <c r="H41" s="1563"/>
      <c r="I41" s="1563"/>
      <c r="J41" s="1563"/>
      <c r="K41" s="1563"/>
      <c r="L41" s="1561">
        <f>M40+M36+M31+M25</f>
        <v>54116400</v>
      </c>
      <c r="M41" s="1510"/>
      <c r="N41" s="1510"/>
      <c r="O41" s="1511"/>
      <c r="P41" s="626"/>
      <c r="Q41" s="625"/>
      <c r="R41" s="624"/>
      <c r="T41" s="619">
        <f>M36/L41*100</f>
        <v>25.084817171873965</v>
      </c>
      <c r="U41" s="619" t="s">
        <v>620</v>
      </c>
    </row>
    <row r="42" spans="2:21" ht="14.25" hidden="1" customHeight="1" x14ac:dyDescent="0.25">
      <c r="B42" s="623" t="s">
        <v>621</v>
      </c>
      <c r="C42" s="623"/>
    </row>
    <row r="43" spans="2:21" ht="9.75" hidden="1" customHeight="1" x14ac:dyDescent="0.25">
      <c r="B43" s="620" t="s">
        <v>604</v>
      </c>
      <c r="C43" s="619" t="s">
        <v>622</v>
      </c>
    </row>
    <row r="44" spans="2:21" ht="9.75" hidden="1" customHeight="1" x14ac:dyDescent="0.25">
      <c r="B44" s="620" t="s">
        <v>609</v>
      </c>
      <c r="C44" s="619" t="s">
        <v>623</v>
      </c>
    </row>
    <row r="45" spans="2:21" ht="9.75" hidden="1" customHeight="1" x14ac:dyDescent="0.25">
      <c r="B45" s="620" t="s">
        <v>612</v>
      </c>
      <c r="C45" s="619" t="s">
        <v>624</v>
      </c>
    </row>
    <row r="46" spans="2:21" ht="9.75" hidden="1" customHeight="1" x14ac:dyDescent="0.25">
      <c r="C46" s="619"/>
    </row>
    <row r="47" spans="2:21" ht="9.75" hidden="1" customHeight="1" x14ac:dyDescent="0.25">
      <c r="B47" s="623" t="s">
        <v>625</v>
      </c>
    </row>
    <row r="48" spans="2:21" ht="9.75" hidden="1" customHeight="1" x14ac:dyDescent="0.25">
      <c r="B48" s="623" t="s">
        <v>626</v>
      </c>
      <c r="C48" s="623" t="s">
        <v>627</v>
      </c>
    </row>
    <row r="49" spans="2:20" ht="9.75" hidden="1" customHeight="1" x14ac:dyDescent="0.25">
      <c r="B49" s="623" t="s">
        <v>628</v>
      </c>
      <c r="C49" s="623" t="s">
        <v>629</v>
      </c>
    </row>
    <row r="50" spans="2:20" ht="9.75" hidden="1" customHeight="1" x14ac:dyDescent="0.25">
      <c r="B50" s="623"/>
      <c r="C50" s="623"/>
    </row>
    <row r="51" spans="2:20" ht="9.75" hidden="1" customHeight="1" x14ac:dyDescent="0.25">
      <c r="B51" s="623" t="s">
        <v>630</v>
      </c>
      <c r="C51" s="623" t="s">
        <v>631</v>
      </c>
    </row>
    <row r="52" spans="2:20" ht="9.75" hidden="1" customHeight="1" x14ac:dyDescent="0.25">
      <c r="B52" s="623" t="s">
        <v>632</v>
      </c>
      <c r="C52" s="623" t="s">
        <v>633</v>
      </c>
    </row>
    <row r="53" spans="2:20" ht="9.75" hidden="1" customHeight="1" x14ac:dyDescent="0.25">
      <c r="B53" s="623"/>
      <c r="C53" s="623"/>
    </row>
    <row r="54" spans="2:20" ht="9.75" hidden="1" customHeight="1" x14ac:dyDescent="0.25">
      <c r="B54" s="623" t="s">
        <v>634</v>
      </c>
      <c r="C54" s="623" t="s">
        <v>635</v>
      </c>
    </row>
    <row r="55" spans="2:20" hidden="1" x14ac:dyDescent="0.25">
      <c r="B55" s="623" t="s">
        <v>636</v>
      </c>
      <c r="C55" s="623" t="s">
        <v>637</v>
      </c>
    </row>
    <row r="56" spans="2:20" s="622" customFormat="1" x14ac:dyDescent="0.25">
      <c r="B56" s="623"/>
      <c r="C56" s="623"/>
      <c r="D56" s="620"/>
      <c r="E56" s="619"/>
      <c r="F56" s="619"/>
      <c r="G56" s="619"/>
      <c r="H56" s="619"/>
      <c r="I56" s="619"/>
      <c r="J56" s="619"/>
      <c r="K56" s="619"/>
      <c r="L56" s="619"/>
      <c r="M56" s="619"/>
      <c r="N56" s="619"/>
      <c r="O56" s="619"/>
      <c r="P56" s="619"/>
      <c r="Q56" s="619"/>
      <c r="R56" s="619"/>
    </row>
    <row r="57" spans="2:20" x14ac:dyDescent="0.25">
      <c r="B57" s="1571" t="s">
        <v>638</v>
      </c>
      <c r="C57" s="1571"/>
      <c r="D57" s="1571"/>
      <c r="E57" s="1571"/>
      <c r="F57" s="1571"/>
      <c r="K57" s="1571" t="s">
        <v>639</v>
      </c>
      <c r="L57" s="1571"/>
      <c r="M57" s="1571"/>
      <c r="N57" s="1571"/>
      <c r="O57" s="1571"/>
      <c r="T57" s="621"/>
    </row>
    <row r="58" spans="2:20" x14ac:dyDescent="0.25">
      <c r="B58" s="1571" t="s">
        <v>640</v>
      </c>
      <c r="C58" s="1571"/>
      <c r="D58" s="1571"/>
      <c r="E58" s="1571"/>
      <c r="F58" s="1571"/>
      <c r="J58" s="1571" t="s">
        <v>641</v>
      </c>
      <c r="K58" s="1571"/>
      <c r="L58" s="1571"/>
      <c r="M58" s="1571"/>
      <c r="N58" s="1571"/>
      <c r="O58" s="1571"/>
      <c r="P58" s="1571"/>
    </row>
    <row r="59" spans="2:20" x14ac:dyDescent="0.25">
      <c r="J59" s="619">
        <f>77820400-L41</f>
        <v>23704000</v>
      </c>
    </row>
    <row r="62" spans="2:20" ht="16.8" x14ac:dyDescent="0.55000000000000004">
      <c r="B62" s="1572"/>
      <c r="C62" s="1572"/>
      <c r="D62" s="1572"/>
      <c r="E62" s="1572"/>
      <c r="F62" s="1572"/>
      <c r="K62" s="1572"/>
      <c r="L62" s="1572"/>
      <c r="M62" s="1572"/>
      <c r="N62" s="1572"/>
      <c r="O62" s="1572"/>
    </row>
  </sheetData>
  <mergeCells count="85">
    <mergeCell ref="C14:E14"/>
    <mergeCell ref="J14:K14"/>
    <mergeCell ref="B4:R4"/>
    <mergeCell ref="B11:E12"/>
    <mergeCell ref="F11:H11"/>
    <mergeCell ref="I11:I12"/>
    <mergeCell ref="J11:K12"/>
    <mergeCell ref="L11:L12"/>
    <mergeCell ref="M11:O12"/>
    <mergeCell ref="P11:R12"/>
    <mergeCell ref="C13:E13"/>
    <mergeCell ref="F13:H13"/>
    <mergeCell ref="J13:K13"/>
    <mergeCell ref="M13:O13"/>
    <mergeCell ref="P13:R13"/>
    <mergeCell ref="J21:K21"/>
    <mergeCell ref="M21:O21"/>
    <mergeCell ref="P21:R21"/>
    <mergeCell ref="C15:E15"/>
    <mergeCell ref="J15:K15"/>
    <mergeCell ref="M15:O15"/>
    <mergeCell ref="P15:R15"/>
    <mergeCell ref="M16:O16"/>
    <mergeCell ref="M17:O17"/>
    <mergeCell ref="J18:K18"/>
    <mergeCell ref="M18:O18"/>
    <mergeCell ref="P18:R18"/>
    <mergeCell ref="J20:K20"/>
    <mergeCell ref="M20:O20"/>
    <mergeCell ref="J23:K23"/>
    <mergeCell ref="M23:O23"/>
    <mergeCell ref="J24:K24"/>
    <mergeCell ref="M24:O24"/>
    <mergeCell ref="B25:K25"/>
    <mergeCell ref="M25:O25"/>
    <mergeCell ref="P25:R25"/>
    <mergeCell ref="C26:E26"/>
    <mergeCell ref="J26:K26"/>
    <mergeCell ref="J27:K27"/>
    <mergeCell ref="M27:O27"/>
    <mergeCell ref="P27:R27"/>
    <mergeCell ref="J28:K28"/>
    <mergeCell ref="M28:O28"/>
    <mergeCell ref="P28:R28"/>
    <mergeCell ref="J29:K29"/>
    <mergeCell ref="M29:O29"/>
    <mergeCell ref="P29:R29"/>
    <mergeCell ref="P33:R33"/>
    <mergeCell ref="J30:K30"/>
    <mergeCell ref="M30:O30"/>
    <mergeCell ref="P30:R30"/>
    <mergeCell ref="B31:K31"/>
    <mergeCell ref="M31:O31"/>
    <mergeCell ref="P31:R31"/>
    <mergeCell ref="C32:E32"/>
    <mergeCell ref="J32:K32"/>
    <mergeCell ref="C33:E33"/>
    <mergeCell ref="J33:K33"/>
    <mergeCell ref="M33:O33"/>
    <mergeCell ref="J34:K34"/>
    <mergeCell ref="M34:O34"/>
    <mergeCell ref="P34:R34"/>
    <mergeCell ref="J35:K35"/>
    <mergeCell ref="M35:O35"/>
    <mergeCell ref="P35:R35"/>
    <mergeCell ref="B36:K36"/>
    <mergeCell ref="M36:O36"/>
    <mergeCell ref="P36:R36"/>
    <mergeCell ref="J37:K37"/>
    <mergeCell ref="M37:O37"/>
    <mergeCell ref="P37:R37"/>
    <mergeCell ref="J39:K39"/>
    <mergeCell ref="M39:O39"/>
    <mergeCell ref="P39:R39"/>
    <mergeCell ref="B40:K40"/>
    <mergeCell ref="M40:O40"/>
    <mergeCell ref="P40:R40"/>
    <mergeCell ref="B62:F62"/>
    <mergeCell ref="K62:O62"/>
    <mergeCell ref="B41:K41"/>
    <mergeCell ref="L41:O41"/>
    <mergeCell ref="B57:F57"/>
    <mergeCell ref="K57:O57"/>
    <mergeCell ref="B58:F58"/>
    <mergeCell ref="J58:P58"/>
  </mergeCells>
  <printOptions horizontalCentered="1"/>
  <pageMargins left="0.35" right="0.3" top="0.25" bottom="0.18" header="0.5" footer="0.5"/>
  <pageSetup paperSize="9" scale="90" orientation="portrait" horizontalDpi="4294967293" verticalDpi="4294967293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6F2A-E36A-4053-AB49-6EC8A4B3B3EA}">
  <sheetPr>
    <tabColor rgb="FF00B0F0"/>
  </sheetPr>
  <dimension ref="A1:M53"/>
  <sheetViews>
    <sheetView view="pageBreakPreview" zoomScale="84" zoomScaleNormal="100" zoomScaleSheetLayoutView="84" workbookViewId="0">
      <selection activeCell="I15" sqref="I15"/>
    </sheetView>
  </sheetViews>
  <sheetFormatPr defaultRowHeight="13.8" x14ac:dyDescent="0.25"/>
  <cols>
    <col min="1" max="1" width="4.33203125" style="818" customWidth="1"/>
    <col min="2" max="2" width="12" style="818" customWidth="1"/>
    <col min="3" max="3" width="27.33203125" style="818" customWidth="1"/>
    <col min="4" max="4" width="10.44140625" style="818" customWidth="1"/>
    <col min="5" max="5" width="9.77734375" style="818" customWidth="1"/>
    <col min="6" max="6" width="24.6640625" style="818" customWidth="1"/>
    <col min="7" max="7" width="34.33203125" style="818" customWidth="1"/>
    <col min="8" max="8" width="11.77734375" style="622" bestFit="1" customWidth="1"/>
    <col min="9" max="9" width="15.6640625" style="622" bestFit="1" customWidth="1"/>
    <col min="10" max="10" width="11" style="622" bestFit="1" customWidth="1"/>
    <col min="11" max="11" width="15.109375" style="622" bestFit="1" customWidth="1"/>
    <col min="12" max="12" width="9.33203125" style="622"/>
    <col min="13" max="13" width="28.44140625" style="622" customWidth="1"/>
    <col min="14" max="256" width="9.33203125" style="622"/>
    <col min="257" max="257" width="4.33203125" style="622" customWidth="1"/>
    <col min="258" max="258" width="12" style="622" customWidth="1"/>
    <col min="259" max="259" width="27.33203125" style="622" customWidth="1"/>
    <col min="260" max="260" width="10.44140625" style="622" customWidth="1"/>
    <col min="261" max="261" width="9.77734375" style="622" customWidth="1"/>
    <col min="262" max="262" width="24.6640625" style="622" customWidth="1"/>
    <col min="263" max="263" width="34.33203125" style="622" customWidth="1"/>
    <col min="264" max="264" width="11.77734375" style="622" bestFit="1" customWidth="1"/>
    <col min="265" max="265" width="15.6640625" style="622" bestFit="1" customWidth="1"/>
    <col min="266" max="266" width="11" style="622" bestFit="1" customWidth="1"/>
    <col min="267" max="267" width="15.109375" style="622" bestFit="1" customWidth="1"/>
    <col min="268" max="268" width="9.33203125" style="622"/>
    <col min="269" max="269" width="28.44140625" style="622" customWidth="1"/>
    <col min="270" max="512" width="9.33203125" style="622"/>
    <col min="513" max="513" width="4.33203125" style="622" customWidth="1"/>
    <col min="514" max="514" width="12" style="622" customWidth="1"/>
    <col min="515" max="515" width="27.33203125" style="622" customWidth="1"/>
    <col min="516" max="516" width="10.44140625" style="622" customWidth="1"/>
    <col min="517" max="517" width="9.77734375" style="622" customWidth="1"/>
    <col min="518" max="518" width="24.6640625" style="622" customWidth="1"/>
    <col min="519" max="519" width="34.33203125" style="622" customWidth="1"/>
    <col min="520" max="520" width="11.77734375" style="622" bestFit="1" customWidth="1"/>
    <col min="521" max="521" width="15.6640625" style="622" bestFit="1" customWidth="1"/>
    <col min="522" max="522" width="11" style="622" bestFit="1" customWidth="1"/>
    <col min="523" max="523" width="15.109375" style="622" bestFit="1" customWidth="1"/>
    <col min="524" max="524" width="9.33203125" style="622"/>
    <col min="525" max="525" width="28.44140625" style="622" customWidth="1"/>
    <col min="526" max="768" width="9.33203125" style="622"/>
    <col min="769" max="769" width="4.33203125" style="622" customWidth="1"/>
    <col min="770" max="770" width="12" style="622" customWidth="1"/>
    <col min="771" max="771" width="27.33203125" style="622" customWidth="1"/>
    <col min="772" max="772" width="10.44140625" style="622" customWidth="1"/>
    <col min="773" max="773" width="9.77734375" style="622" customWidth="1"/>
    <col min="774" max="774" width="24.6640625" style="622" customWidth="1"/>
    <col min="775" max="775" width="34.33203125" style="622" customWidth="1"/>
    <col min="776" max="776" width="11.77734375" style="622" bestFit="1" customWidth="1"/>
    <col min="777" max="777" width="15.6640625" style="622" bestFit="1" customWidth="1"/>
    <col min="778" max="778" width="11" style="622" bestFit="1" customWidth="1"/>
    <col min="779" max="779" width="15.109375" style="622" bestFit="1" customWidth="1"/>
    <col min="780" max="780" width="9.33203125" style="622"/>
    <col min="781" max="781" width="28.44140625" style="622" customWidth="1"/>
    <col min="782" max="1024" width="9.33203125" style="622"/>
    <col min="1025" max="1025" width="4.33203125" style="622" customWidth="1"/>
    <col min="1026" max="1026" width="12" style="622" customWidth="1"/>
    <col min="1027" max="1027" width="27.33203125" style="622" customWidth="1"/>
    <col min="1028" max="1028" width="10.44140625" style="622" customWidth="1"/>
    <col min="1029" max="1029" width="9.77734375" style="622" customWidth="1"/>
    <col min="1030" max="1030" width="24.6640625" style="622" customWidth="1"/>
    <col min="1031" max="1031" width="34.33203125" style="622" customWidth="1"/>
    <col min="1032" max="1032" width="11.77734375" style="622" bestFit="1" customWidth="1"/>
    <col min="1033" max="1033" width="15.6640625" style="622" bestFit="1" customWidth="1"/>
    <col min="1034" max="1034" width="11" style="622" bestFit="1" customWidth="1"/>
    <col min="1035" max="1035" width="15.109375" style="622" bestFit="1" customWidth="1"/>
    <col min="1036" max="1036" width="9.33203125" style="622"/>
    <col min="1037" max="1037" width="28.44140625" style="622" customWidth="1"/>
    <col min="1038" max="1280" width="9.33203125" style="622"/>
    <col min="1281" max="1281" width="4.33203125" style="622" customWidth="1"/>
    <col min="1282" max="1282" width="12" style="622" customWidth="1"/>
    <col min="1283" max="1283" width="27.33203125" style="622" customWidth="1"/>
    <col min="1284" max="1284" width="10.44140625" style="622" customWidth="1"/>
    <col min="1285" max="1285" width="9.77734375" style="622" customWidth="1"/>
    <col min="1286" max="1286" width="24.6640625" style="622" customWidth="1"/>
    <col min="1287" max="1287" width="34.33203125" style="622" customWidth="1"/>
    <col min="1288" max="1288" width="11.77734375" style="622" bestFit="1" customWidth="1"/>
    <col min="1289" max="1289" width="15.6640625" style="622" bestFit="1" customWidth="1"/>
    <col min="1290" max="1290" width="11" style="622" bestFit="1" customWidth="1"/>
    <col min="1291" max="1291" width="15.109375" style="622" bestFit="1" customWidth="1"/>
    <col min="1292" max="1292" width="9.33203125" style="622"/>
    <col min="1293" max="1293" width="28.44140625" style="622" customWidth="1"/>
    <col min="1294" max="1536" width="9.33203125" style="622"/>
    <col min="1537" max="1537" width="4.33203125" style="622" customWidth="1"/>
    <col min="1538" max="1538" width="12" style="622" customWidth="1"/>
    <col min="1539" max="1539" width="27.33203125" style="622" customWidth="1"/>
    <col min="1540" max="1540" width="10.44140625" style="622" customWidth="1"/>
    <col min="1541" max="1541" width="9.77734375" style="622" customWidth="1"/>
    <col min="1542" max="1542" width="24.6640625" style="622" customWidth="1"/>
    <col min="1543" max="1543" width="34.33203125" style="622" customWidth="1"/>
    <col min="1544" max="1544" width="11.77734375" style="622" bestFit="1" customWidth="1"/>
    <col min="1545" max="1545" width="15.6640625" style="622" bestFit="1" customWidth="1"/>
    <col min="1546" max="1546" width="11" style="622" bestFit="1" customWidth="1"/>
    <col min="1547" max="1547" width="15.109375" style="622" bestFit="1" customWidth="1"/>
    <col min="1548" max="1548" width="9.33203125" style="622"/>
    <col min="1549" max="1549" width="28.44140625" style="622" customWidth="1"/>
    <col min="1550" max="1792" width="9.33203125" style="622"/>
    <col min="1793" max="1793" width="4.33203125" style="622" customWidth="1"/>
    <col min="1794" max="1794" width="12" style="622" customWidth="1"/>
    <col min="1795" max="1795" width="27.33203125" style="622" customWidth="1"/>
    <col min="1796" max="1796" width="10.44140625" style="622" customWidth="1"/>
    <col min="1797" max="1797" width="9.77734375" style="622" customWidth="1"/>
    <col min="1798" max="1798" width="24.6640625" style="622" customWidth="1"/>
    <col min="1799" max="1799" width="34.33203125" style="622" customWidth="1"/>
    <col min="1800" max="1800" width="11.77734375" style="622" bestFit="1" customWidth="1"/>
    <col min="1801" max="1801" width="15.6640625" style="622" bestFit="1" customWidth="1"/>
    <col min="1802" max="1802" width="11" style="622" bestFit="1" customWidth="1"/>
    <col min="1803" max="1803" width="15.109375" style="622" bestFit="1" customWidth="1"/>
    <col min="1804" max="1804" width="9.33203125" style="622"/>
    <col min="1805" max="1805" width="28.44140625" style="622" customWidth="1"/>
    <col min="1806" max="2048" width="9.33203125" style="622"/>
    <col min="2049" max="2049" width="4.33203125" style="622" customWidth="1"/>
    <col min="2050" max="2050" width="12" style="622" customWidth="1"/>
    <col min="2051" max="2051" width="27.33203125" style="622" customWidth="1"/>
    <col min="2052" max="2052" width="10.44140625" style="622" customWidth="1"/>
    <col min="2053" max="2053" width="9.77734375" style="622" customWidth="1"/>
    <col min="2054" max="2054" width="24.6640625" style="622" customWidth="1"/>
    <col min="2055" max="2055" width="34.33203125" style="622" customWidth="1"/>
    <col min="2056" max="2056" width="11.77734375" style="622" bestFit="1" customWidth="1"/>
    <col min="2057" max="2057" width="15.6640625" style="622" bestFit="1" customWidth="1"/>
    <col min="2058" max="2058" width="11" style="622" bestFit="1" customWidth="1"/>
    <col min="2059" max="2059" width="15.109375" style="622" bestFit="1" customWidth="1"/>
    <col min="2060" max="2060" width="9.33203125" style="622"/>
    <col min="2061" max="2061" width="28.44140625" style="622" customWidth="1"/>
    <col min="2062" max="2304" width="9.33203125" style="622"/>
    <col min="2305" max="2305" width="4.33203125" style="622" customWidth="1"/>
    <col min="2306" max="2306" width="12" style="622" customWidth="1"/>
    <col min="2307" max="2307" width="27.33203125" style="622" customWidth="1"/>
    <col min="2308" max="2308" width="10.44140625" style="622" customWidth="1"/>
    <col min="2309" max="2309" width="9.77734375" style="622" customWidth="1"/>
    <col min="2310" max="2310" width="24.6640625" style="622" customWidth="1"/>
    <col min="2311" max="2311" width="34.33203125" style="622" customWidth="1"/>
    <col min="2312" max="2312" width="11.77734375" style="622" bestFit="1" customWidth="1"/>
    <col min="2313" max="2313" width="15.6640625" style="622" bestFit="1" customWidth="1"/>
    <col min="2314" max="2314" width="11" style="622" bestFit="1" customWidth="1"/>
    <col min="2315" max="2315" width="15.109375" style="622" bestFit="1" customWidth="1"/>
    <col min="2316" max="2316" width="9.33203125" style="622"/>
    <col min="2317" max="2317" width="28.44140625" style="622" customWidth="1"/>
    <col min="2318" max="2560" width="9.33203125" style="622"/>
    <col min="2561" max="2561" width="4.33203125" style="622" customWidth="1"/>
    <col min="2562" max="2562" width="12" style="622" customWidth="1"/>
    <col min="2563" max="2563" width="27.33203125" style="622" customWidth="1"/>
    <col min="2564" max="2564" width="10.44140625" style="622" customWidth="1"/>
    <col min="2565" max="2565" width="9.77734375" style="622" customWidth="1"/>
    <col min="2566" max="2566" width="24.6640625" style="622" customWidth="1"/>
    <col min="2567" max="2567" width="34.33203125" style="622" customWidth="1"/>
    <col min="2568" max="2568" width="11.77734375" style="622" bestFit="1" customWidth="1"/>
    <col min="2569" max="2569" width="15.6640625" style="622" bestFit="1" customWidth="1"/>
    <col min="2570" max="2570" width="11" style="622" bestFit="1" customWidth="1"/>
    <col min="2571" max="2571" width="15.109375" style="622" bestFit="1" customWidth="1"/>
    <col min="2572" max="2572" width="9.33203125" style="622"/>
    <col min="2573" max="2573" width="28.44140625" style="622" customWidth="1"/>
    <col min="2574" max="2816" width="9.33203125" style="622"/>
    <col min="2817" max="2817" width="4.33203125" style="622" customWidth="1"/>
    <col min="2818" max="2818" width="12" style="622" customWidth="1"/>
    <col min="2819" max="2819" width="27.33203125" style="622" customWidth="1"/>
    <col min="2820" max="2820" width="10.44140625" style="622" customWidth="1"/>
    <col min="2821" max="2821" width="9.77734375" style="622" customWidth="1"/>
    <col min="2822" max="2822" width="24.6640625" style="622" customWidth="1"/>
    <col min="2823" max="2823" width="34.33203125" style="622" customWidth="1"/>
    <col min="2824" max="2824" width="11.77734375" style="622" bestFit="1" customWidth="1"/>
    <col min="2825" max="2825" width="15.6640625" style="622" bestFit="1" customWidth="1"/>
    <col min="2826" max="2826" width="11" style="622" bestFit="1" customWidth="1"/>
    <col min="2827" max="2827" width="15.109375" style="622" bestFit="1" customWidth="1"/>
    <col min="2828" max="2828" width="9.33203125" style="622"/>
    <col min="2829" max="2829" width="28.44140625" style="622" customWidth="1"/>
    <col min="2830" max="3072" width="9.33203125" style="622"/>
    <col min="3073" max="3073" width="4.33203125" style="622" customWidth="1"/>
    <col min="3074" max="3074" width="12" style="622" customWidth="1"/>
    <col min="3075" max="3075" width="27.33203125" style="622" customWidth="1"/>
    <col min="3076" max="3076" width="10.44140625" style="622" customWidth="1"/>
    <col min="3077" max="3077" width="9.77734375" style="622" customWidth="1"/>
    <col min="3078" max="3078" width="24.6640625" style="622" customWidth="1"/>
    <col min="3079" max="3079" width="34.33203125" style="622" customWidth="1"/>
    <col min="3080" max="3080" width="11.77734375" style="622" bestFit="1" customWidth="1"/>
    <col min="3081" max="3081" width="15.6640625" style="622" bestFit="1" customWidth="1"/>
    <col min="3082" max="3082" width="11" style="622" bestFit="1" customWidth="1"/>
    <col min="3083" max="3083" width="15.109375" style="622" bestFit="1" customWidth="1"/>
    <col min="3084" max="3084" width="9.33203125" style="622"/>
    <col min="3085" max="3085" width="28.44140625" style="622" customWidth="1"/>
    <col min="3086" max="3328" width="9.33203125" style="622"/>
    <col min="3329" max="3329" width="4.33203125" style="622" customWidth="1"/>
    <col min="3330" max="3330" width="12" style="622" customWidth="1"/>
    <col min="3331" max="3331" width="27.33203125" style="622" customWidth="1"/>
    <col min="3332" max="3332" width="10.44140625" style="622" customWidth="1"/>
    <col min="3333" max="3333" width="9.77734375" style="622" customWidth="1"/>
    <col min="3334" max="3334" width="24.6640625" style="622" customWidth="1"/>
    <col min="3335" max="3335" width="34.33203125" style="622" customWidth="1"/>
    <col min="3336" max="3336" width="11.77734375" style="622" bestFit="1" customWidth="1"/>
    <col min="3337" max="3337" width="15.6640625" style="622" bestFit="1" customWidth="1"/>
    <col min="3338" max="3338" width="11" style="622" bestFit="1" customWidth="1"/>
    <col min="3339" max="3339" width="15.109375" style="622" bestFit="1" customWidth="1"/>
    <col min="3340" max="3340" width="9.33203125" style="622"/>
    <col min="3341" max="3341" width="28.44140625" style="622" customWidth="1"/>
    <col min="3342" max="3584" width="9.33203125" style="622"/>
    <col min="3585" max="3585" width="4.33203125" style="622" customWidth="1"/>
    <col min="3586" max="3586" width="12" style="622" customWidth="1"/>
    <col min="3587" max="3587" width="27.33203125" style="622" customWidth="1"/>
    <col min="3588" max="3588" width="10.44140625" style="622" customWidth="1"/>
    <col min="3589" max="3589" width="9.77734375" style="622" customWidth="1"/>
    <col min="3590" max="3590" width="24.6640625" style="622" customWidth="1"/>
    <col min="3591" max="3591" width="34.33203125" style="622" customWidth="1"/>
    <col min="3592" max="3592" width="11.77734375" style="622" bestFit="1" customWidth="1"/>
    <col min="3593" max="3593" width="15.6640625" style="622" bestFit="1" customWidth="1"/>
    <col min="3594" max="3594" width="11" style="622" bestFit="1" customWidth="1"/>
    <col min="3595" max="3595" width="15.109375" style="622" bestFit="1" customWidth="1"/>
    <col min="3596" max="3596" width="9.33203125" style="622"/>
    <col min="3597" max="3597" width="28.44140625" style="622" customWidth="1"/>
    <col min="3598" max="3840" width="9.33203125" style="622"/>
    <col min="3841" max="3841" width="4.33203125" style="622" customWidth="1"/>
    <col min="3842" max="3842" width="12" style="622" customWidth="1"/>
    <col min="3843" max="3843" width="27.33203125" style="622" customWidth="1"/>
    <col min="3844" max="3844" width="10.44140625" style="622" customWidth="1"/>
    <col min="3845" max="3845" width="9.77734375" style="622" customWidth="1"/>
    <col min="3846" max="3846" width="24.6640625" style="622" customWidth="1"/>
    <col min="3847" max="3847" width="34.33203125" style="622" customWidth="1"/>
    <col min="3848" max="3848" width="11.77734375" style="622" bestFit="1" customWidth="1"/>
    <col min="3849" max="3849" width="15.6640625" style="622" bestFit="1" customWidth="1"/>
    <col min="3850" max="3850" width="11" style="622" bestFit="1" customWidth="1"/>
    <col min="3851" max="3851" width="15.109375" style="622" bestFit="1" customWidth="1"/>
    <col min="3852" max="3852" width="9.33203125" style="622"/>
    <col min="3853" max="3853" width="28.44140625" style="622" customWidth="1"/>
    <col min="3854" max="4096" width="9.33203125" style="622"/>
    <col min="4097" max="4097" width="4.33203125" style="622" customWidth="1"/>
    <col min="4098" max="4098" width="12" style="622" customWidth="1"/>
    <col min="4099" max="4099" width="27.33203125" style="622" customWidth="1"/>
    <col min="4100" max="4100" width="10.44140625" style="622" customWidth="1"/>
    <col min="4101" max="4101" width="9.77734375" style="622" customWidth="1"/>
    <col min="4102" max="4102" width="24.6640625" style="622" customWidth="1"/>
    <col min="4103" max="4103" width="34.33203125" style="622" customWidth="1"/>
    <col min="4104" max="4104" width="11.77734375" style="622" bestFit="1" customWidth="1"/>
    <col min="4105" max="4105" width="15.6640625" style="622" bestFit="1" customWidth="1"/>
    <col min="4106" max="4106" width="11" style="622" bestFit="1" customWidth="1"/>
    <col min="4107" max="4107" width="15.109375" style="622" bestFit="1" customWidth="1"/>
    <col min="4108" max="4108" width="9.33203125" style="622"/>
    <col min="4109" max="4109" width="28.44140625" style="622" customWidth="1"/>
    <col min="4110" max="4352" width="9.33203125" style="622"/>
    <col min="4353" max="4353" width="4.33203125" style="622" customWidth="1"/>
    <col min="4354" max="4354" width="12" style="622" customWidth="1"/>
    <col min="4355" max="4355" width="27.33203125" style="622" customWidth="1"/>
    <col min="4356" max="4356" width="10.44140625" style="622" customWidth="1"/>
    <col min="4357" max="4357" width="9.77734375" style="622" customWidth="1"/>
    <col min="4358" max="4358" width="24.6640625" style="622" customWidth="1"/>
    <col min="4359" max="4359" width="34.33203125" style="622" customWidth="1"/>
    <col min="4360" max="4360" width="11.77734375" style="622" bestFit="1" customWidth="1"/>
    <col min="4361" max="4361" width="15.6640625" style="622" bestFit="1" customWidth="1"/>
    <col min="4362" max="4362" width="11" style="622" bestFit="1" customWidth="1"/>
    <col min="4363" max="4363" width="15.109375" style="622" bestFit="1" customWidth="1"/>
    <col min="4364" max="4364" width="9.33203125" style="622"/>
    <col min="4365" max="4365" width="28.44140625" style="622" customWidth="1"/>
    <col min="4366" max="4608" width="9.33203125" style="622"/>
    <col min="4609" max="4609" width="4.33203125" style="622" customWidth="1"/>
    <col min="4610" max="4610" width="12" style="622" customWidth="1"/>
    <col min="4611" max="4611" width="27.33203125" style="622" customWidth="1"/>
    <col min="4612" max="4612" width="10.44140625" style="622" customWidth="1"/>
    <col min="4613" max="4613" width="9.77734375" style="622" customWidth="1"/>
    <col min="4614" max="4614" width="24.6640625" style="622" customWidth="1"/>
    <col min="4615" max="4615" width="34.33203125" style="622" customWidth="1"/>
    <col min="4616" max="4616" width="11.77734375" style="622" bestFit="1" customWidth="1"/>
    <col min="4617" max="4617" width="15.6640625" style="622" bestFit="1" customWidth="1"/>
    <col min="4618" max="4618" width="11" style="622" bestFit="1" customWidth="1"/>
    <col min="4619" max="4619" width="15.109375" style="622" bestFit="1" customWidth="1"/>
    <col min="4620" max="4620" width="9.33203125" style="622"/>
    <col min="4621" max="4621" width="28.44140625" style="622" customWidth="1"/>
    <col min="4622" max="4864" width="9.33203125" style="622"/>
    <col min="4865" max="4865" width="4.33203125" style="622" customWidth="1"/>
    <col min="4866" max="4866" width="12" style="622" customWidth="1"/>
    <col min="4867" max="4867" width="27.33203125" style="622" customWidth="1"/>
    <col min="4868" max="4868" width="10.44140625" style="622" customWidth="1"/>
    <col min="4869" max="4869" width="9.77734375" style="622" customWidth="1"/>
    <col min="4870" max="4870" width="24.6640625" style="622" customWidth="1"/>
    <col min="4871" max="4871" width="34.33203125" style="622" customWidth="1"/>
    <col min="4872" max="4872" width="11.77734375" style="622" bestFit="1" customWidth="1"/>
    <col min="4873" max="4873" width="15.6640625" style="622" bestFit="1" customWidth="1"/>
    <col min="4874" max="4874" width="11" style="622" bestFit="1" customWidth="1"/>
    <col min="4875" max="4875" width="15.109375" style="622" bestFit="1" customWidth="1"/>
    <col min="4876" max="4876" width="9.33203125" style="622"/>
    <col min="4877" max="4877" width="28.44140625" style="622" customWidth="1"/>
    <col min="4878" max="5120" width="9.33203125" style="622"/>
    <col min="5121" max="5121" width="4.33203125" style="622" customWidth="1"/>
    <col min="5122" max="5122" width="12" style="622" customWidth="1"/>
    <col min="5123" max="5123" width="27.33203125" style="622" customWidth="1"/>
    <col min="5124" max="5124" width="10.44140625" style="622" customWidth="1"/>
    <col min="5125" max="5125" width="9.77734375" style="622" customWidth="1"/>
    <col min="5126" max="5126" width="24.6640625" style="622" customWidth="1"/>
    <col min="5127" max="5127" width="34.33203125" style="622" customWidth="1"/>
    <col min="5128" max="5128" width="11.77734375" style="622" bestFit="1" customWidth="1"/>
    <col min="5129" max="5129" width="15.6640625" style="622" bestFit="1" customWidth="1"/>
    <col min="5130" max="5130" width="11" style="622" bestFit="1" customWidth="1"/>
    <col min="5131" max="5131" width="15.109375" style="622" bestFit="1" customWidth="1"/>
    <col min="5132" max="5132" width="9.33203125" style="622"/>
    <col min="5133" max="5133" width="28.44140625" style="622" customWidth="1"/>
    <col min="5134" max="5376" width="9.33203125" style="622"/>
    <col min="5377" max="5377" width="4.33203125" style="622" customWidth="1"/>
    <col min="5378" max="5378" width="12" style="622" customWidth="1"/>
    <col min="5379" max="5379" width="27.33203125" style="622" customWidth="1"/>
    <col min="5380" max="5380" width="10.44140625" style="622" customWidth="1"/>
    <col min="5381" max="5381" width="9.77734375" style="622" customWidth="1"/>
    <col min="5382" max="5382" width="24.6640625" style="622" customWidth="1"/>
    <col min="5383" max="5383" width="34.33203125" style="622" customWidth="1"/>
    <col min="5384" max="5384" width="11.77734375" style="622" bestFit="1" customWidth="1"/>
    <col min="5385" max="5385" width="15.6640625" style="622" bestFit="1" customWidth="1"/>
    <col min="5386" max="5386" width="11" style="622" bestFit="1" customWidth="1"/>
    <col min="5387" max="5387" width="15.109375" style="622" bestFit="1" customWidth="1"/>
    <col min="5388" max="5388" width="9.33203125" style="622"/>
    <col min="5389" max="5389" width="28.44140625" style="622" customWidth="1"/>
    <col min="5390" max="5632" width="9.33203125" style="622"/>
    <col min="5633" max="5633" width="4.33203125" style="622" customWidth="1"/>
    <col min="5634" max="5634" width="12" style="622" customWidth="1"/>
    <col min="5635" max="5635" width="27.33203125" style="622" customWidth="1"/>
    <col min="5636" max="5636" width="10.44140625" style="622" customWidth="1"/>
    <col min="5637" max="5637" width="9.77734375" style="622" customWidth="1"/>
    <col min="5638" max="5638" width="24.6640625" style="622" customWidth="1"/>
    <col min="5639" max="5639" width="34.33203125" style="622" customWidth="1"/>
    <col min="5640" max="5640" width="11.77734375" style="622" bestFit="1" customWidth="1"/>
    <col min="5641" max="5641" width="15.6640625" style="622" bestFit="1" customWidth="1"/>
    <col min="5642" max="5642" width="11" style="622" bestFit="1" customWidth="1"/>
    <col min="5643" max="5643" width="15.109375" style="622" bestFit="1" customWidth="1"/>
    <col min="5644" max="5644" width="9.33203125" style="622"/>
    <col min="5645" max="5645" width="28.44140625" style="622" customWidth="1"/>
    <col min="5646" max="5888" width="9.33203125" style="622"/>
    <col min="5889" max="5889" width="4.33203125" style="622" customWidth="1"/>
    <col min="5890" max="5890" width="12" style="622" customWidth="1"/>
    <col min="5891" max="5891" width="27.33203125" style="622" customWidth="1"/>
    <col min="5892" max="5892" width="10.44140625" style="622" customWidth="1"/>
    <col min="5893" max="5893" width="9.77734375" style="622" customWidth="1"/>
    <col min="5894" max="5894" width="24.6640625" style="622" customWidth="1"/>
    <col min="5895" max="5895" width="34.33203125" style="622" customWidth="1"/>
    <col min="5896" max="5896" width="11.77734375" style="622" bestFit="1" customWidth="1"/>
    <col min="5897" max="5897" width="15.6640625" style="622" bestFit="1" customWidth="1"/>
    <col min="5898" max="5898" width="11" style="622" bestFit="1" customWidth="1"/>
    <col min="5899" max="5899" width="15.109375" style="622" bestFit="1" customWidth="1"/>
    <col min="5900" max="5900" width="9.33203125" style="622"/>
    <col min="5901" max="5901" width="28.44140625" style="622" customWidth="1"/>
    <col min="5902" max="6144" width="9.33203125" style="622"/>
    <col min="6145" max="6145" width="4.33203125" style="622" customWidth="1"/>
    <col min="6146" max="6146" width="12" style="622" customWidth="1"/>
    <col min="6147" max="6147" width="27.33203125" style="622" customWidth="1"/>
    <col min="6148" max="6148" width="10.44140625" style="622" customWidth="1"/>
    <col min="6149" max="6149" width="9.77734375" style="622" customWidth="1"/>
    <col min="6150" max="6150" width="24.6640625" style="622" customWidth="1"/>
    <col min="6151" max="6151" width="34.33203125" style="622" customWidth="1"/>
    <col min="6152" max="6152" width="11.77734375" style="622" bestFit="1" customWidth="1"/>
    <col min="6153" max="6153" width="15.6640625" style="622" bestFit="1" customWidth="1"/>
    <col min="6154" max="6154" width="11" style="622" bestFit="1" customWidth="1"/>
    <col min="6155" max="6155" width="15.109375" style="622" bestFit="1" customWidth="1"/>
    <col min="6156" max="6156" width="9.33203125" style="622"/>
    <col min="6157" max="6157" width="28.44140625" style="622" customWidth="1"/>
    <col min="6158" max="6400" width="9.33203125" style="622"/>
    <col min="6401" max="6401" width="4.33203125" style="622" customWidth="1"/>
    <col min="6402" max="6402" width="12" style="622" customWidth="1"/>
    <col min="6403" max="6403" width="27.33203125" style="622" customWidth="1"/>
    <col min="6404" max="6404" width="10.44140625" style="622" customWidth="1"/>
    <col min="6405" max="6405" width="9.77734375" style="622" customWidth="1"/>
    <col min="6406" max="6406" width="24.6640625" style="622" customWidth="1"/>
    <col min="6407" max="6407" width="34.33203125" style="622" customWidth="1"/>
    <col min="6408" max="6408" width="11.77734375" style="622" bestFit="1" customWidth="1"/>
    <col min="6409" max="6409" width="15.6640625" style="622" bestFit="1" customWidth="1"/>
    <col min="6410" max="6410" width="11" style="622" bestFit="1" customWidth="1"/>
    <col min="6411" max="6411" width="15.109375" style="622" bestFit="1" customWidth="1"/>
    <col min="6412" max="6412" width="9.33203125" style="622"/>
    <col min="6413" max="6413" width="28.44140625" style="622" customWidth="1"/>
    <col min="6414" max="6656" width="9.33203125" style="622"/>
    <col min="6657" max="6657" width="4.33203125" style="622" customWidth="1"/>
    <col min="6658" max="6658" width="12" style="622" customWidth="1"/>
    <col min="6659" max="6659" width="27.33203125" style="622" customWidth="1"/>
    <col min="6660" max="6660" width="10.44140625" style="622" customWidth="1"/>
    <col min="6661" max="6661" width="9.77734375" style="622" customWidth="1"/>
    <col min="6662" max="6662" width="24.6640625" style="622" customWidth="1"/>
    <col min="6663" max="6663" width="34.33203125" style="622" customWidth="1"/>
    <col min="6664" max="6664" width="11.77734375" style="622" bestFit="1" customWidth="1"/>
    <col min="6665" max="6665" width="15.6640625" style="622" bestFit="1" customWidth="1"/>
    <col min="6666" max="6666" width="11" style="622" bestFit="1" customWidth="1"/>
    <col min="6667" max="6667" width="15.109375" style="622" bestFit="1" customWidth="1"/>
    <col min="6668" max="6668" width="9.33203125" style="622"/>
    <col min="6669" max="6669" width="28.44140625" style="622" customWidth="1"/>
    <col min="6670" max="6912" width="9.33203125" style="622"/>
    <col min="6913" max="6913" width="4.33203125" style="622" customWidth="1"/>
    <col min="6914" max="6914" width="12" style="622" customWidth="1"/>
    <col min="6915" max="6915" width="27.33203125" style="622" customWidth="1"/>
    <col min="6916" max="6916" width="10.44140625" style="622" customWidth="1"/>
    <col min="6917" max="6917" width="9.77734375" style="622" customWidth="1"/>
    <col min="6918" max="6918" width="24.6640625" style="622" customWidth="1"/>
    <col min="6919" max="6919" width="34.33203125" style="622" customWidth="1"/>
    <col min="6920" max="6920" width="11.77734375" style="622" bestFit="1" customWidth="1"/>
    <col min="6921" max="6921" width="15.6640625" style="622" bestFit="1" customWidth="1"/>
    <col min="6922" max="6922" width="11" style="622" bestFit="1" customWidth="1"/>
    <col min="6923" max="6923" width="15.109375" style="622" bestFit="1" customWidth="1"/>
    <col min="6924" max="6924" width="9.33203125" style="622"/>
    <col min="6925" max="6925" width="28.44140625" style="622" customWidth="1"/>
    <col min="6926" max="7168" width="9.33203125" style="622"/>
    <col min="7169" max="7169" width="4.33203125" style="622" customWidth="1"/>
    <col min="7170" max="7170" width="12" style="622" customWidth="1"/>
    <col min="7171" max="7171" width="27.33203125" style="622" customWidth="1"/>
    <col min="7172" max="7172" width="10.44140625" style="622" customWidth="1"/>
    <col min="7173" max="7173" width="9.77734375" style="622" customWidth="1"/>
    <col min="7174" max="7174" width="24.6640625" style="622" customWidth="1"/>
    <col min="7175" max="7175" width="34.33203125" style="622" customWidth="1"/>
    <col min="7176" max="7176" width="11.77734375" style="622" bestFit="1" customWidth="1"/>
    <col min="7177" max="7177" width="15.6640625" style="622" bestFit="1" customWidth="1"/>
    <col min="7178" max="7178" width="11" style="622" bestFit="1" customWidth="1"/>
    <col min="7179" max="7179" width="15.109375" style="622" bestFit="1" customWidth="1"/>
    <col min="7180" max="7180" width="9.33203125" style="622"/>
    <col min="7181" max="7181" width="28.44140625" style="622" customWidth="1"/>
    <col min="7182" max="7424" width="9.33203125" style="622"/>
    <col min="7425" max="7425" width="4.33203125" style="622" customWidth="1"/>
    <col min="7426" max="7426" width="12" style="622" customWidth="1"/>
    <col min="7427" max="7427" width="27.33203125" style="622" customWidth="1"/>
    <col min="7428" max="7428" width="10.44140625" style="622" customWidth="1"/>
    <col min="7429" max="7429" width="9.77734375" style="622" customWidth="1"/>
    <col min="7430" max="7430" width="24.6640625" style="622" customWidth="1"/>
    <col min="7431" max="7431" width="34.33203125" style="622" customWidth="1"/>
    <col min="7432" max="7432" width="11.77734375" style="622" bestFit="1" customWidth="1"/>
    <col min="7433" max="7433" width="15.6640625" style="622" bestFit="1" customWidth="1"/>
    <col min="7434" max="7434" width="11" style="622" bestFit="1" customWidth="1"/>
    <col min="7435" max="7435" width="15.109375" style="622" bestFit="1" customWidth="1"/>
    <col min="7436" max="7436" width="9.33203125" style="622"/>
    <col min="7437" max="7437" width="28.44140625" style="622" customWidth="1"/>
    <col min="7438" max="7680" width="9.33203125" style="622"/>
    <col min="7681" max="7681" width="4.33203125" style="622" customWidth="1"/>
    <col min="7682" max="7682" width="12" style="622" customWidth="1"/>
    <col min="7683" max="7683" width="27.33203125" style="622" customWidth="1"/>
    <col min="7684" max="7684" width="10.44140625" style="622" customWidth="1"/>
    <col min="7685" max="7685" width="9.77734375" style="622" customWidth="1"/>
    <col min="7686" max="7686" width="24.6640625" style="622" customWidth="1"/>
    <col min="7687" max="7687" width="34.33203125" style="622" customWidth="1"/>
    <col min="7688" max="7688" width="11.77734375" style="622" bestFit="1" customWidth="1"/>
    <col min="7689" max="7689" width="15.6640625" style="622" bestFit="1" customWidth="1"/>
    <col min="7690" max="7690" width="11" style="622" bestFit="1" customWidth="1"/>
    <col min="7691" max="7691" width="15.109375" style="622" bestFit="1" customWidth="1"/>
    <col min="7692" max="7692" width="9.33203125" style="622"/>
    <col min="7693" max="7693" width="28.44140625" style="622" customWidth="1"/>
    <col min="7694" max="7936" width="9.33203125" style="622"/>
    <col min="7937" max="7937" width="4.33203125" style="622" customWidth="1"/>
    <col min="7938" max="7938" width="12" style="622" customWidth="1"/>
    <col min="7939" max="7939" width="27.33203125" style="622" customWidth="1"/>
    <col min="7940" max="7940" width="10.44140625" style="622" customWidth="1"/>
    <col min="7941" max="7941" width="9.77734375" style="622" customWidth="1"/>
    <col min="7942" max="7942" width="24.6640625" style="622" customWidth="1"/>
    <col min="7943" max="7943" width="34.33203125" style="622" customWidth="1"/>
    <col min="7944" max="7944" width="11.77734375" style="622" bestFit="1" customWidth="1"/>
    <col min="7945" max="7945" width="15.6640625" style="622" bestFit="1" customWidth="1"/>
    <col min="7946" max="7946" width="11" style="622" bestFit="1" customWidth="1"/>
    <col min="7947" max="7947" width="15.109375" style="622" bestFit="1" customWidth="1"/>
    <col min="7948" max="7948" width="9.33203125" style="622"/>
    <col min="7949" max="7949" width="28.44140625" style="622" customWidth="1"/>
    <col min="7950" max="8192" width="9.33203125" style="622"/>
    <col min="8193" max="8193" width="4.33203125" style="622" customWidth="1"/>
    <col min="8194" max="8194" width="12" style="622" customWidth="1"/>
    <col min="8195" max="8195" width="27.33203125" style="622" customWidth="1"/>
    <col min="8196" max="8196" width="10.44140625" style="622" customWidth="1"/>
    <col min="8197" max="8197" width="9.77734375" style="622" customWidth="1"/>
    <col min="8198" max="8198" width="24.6640625" style="622" customWidth="1"/>
    <col min="8199" max="8199" width="34.33203125" style="622" customWidth="1"/>
    <col min="8200" max="8200" width="11.77734375" style="622" bestFit="1" customWidth="1"/>
    <col min="8201" max="8201" width="15.6640625" style="622" bestFit="1" customWidth="1"/>
    <col min="8202" max="8202" width="11" style="622" bestFit="1" customWidth="1"/>
    <col min="8203" max="8203" width="15.109375" style="622" bestFit="1" customWidth="1"/>
    <col min="8204" max="8204" width="9.33203125" style="622"/>
    <col min="8205" max="8205" width="28.44140625" style="622" customWidth="1"/>
    <col min="8206" max="8448" width="9.33203125" style="622"/>
    <col min="8449" max="8449" width="4.33203125" style="622" customWidth="1"/>
    <col min="8450" max="8450" width="12" style="622" customWidth="1"/>
    <col min="8451" max="8451" width="27.33203125" style="622" customWidth="1"/>
    <col min="8452" max="8452" width="10.44140625" style="622" customWidth="1"/>
    <col min="8453" max="8453" width="9.77734375" style="622" customWidth="1"/>
    <col min="8454" max="8454" width="24.6640625" style="622" customWidth="1"/>
    <col min="8455" max="8455" width="34.33203125" style="622" customWidth="1"/>
    <col min="8456" max="8456" width="11.77734375" style="622" bestFit="1" customWidth="1"/>
    <col min="8457" max="8457" width="15.6640625" style="622" bestFit="1" customWidth="1"/>
    <col min="8458" max="8458" width="11" style="622" bestFit="1" customWidth="1"/>
    <col min="8459" max="8459" width="15.109375" style="622" bestFit="1" customWidth="1"/>
    <col min="8460" max="8460" width="9.33203125" style="622"/>
    <col min="8461" max="8461" width="28.44140625" style="622" customWidth="1"/>
    <col min="8462" max="8704" width="9.33203125" style="622"/>
    <col min="8705" max="8705" width="4.33203125" style="622" customWidth="1"/>
    <col min="8706" max="8706" width="12" style="622" customWidth="1"/>
    <col min="8707" max="8707" width="27.33203125" style="622" customWidth="1"/>
    <col min="8708" max="8708" width="10.44140625" style="622" customWidth="1"/>
    <col min="8709" max="8709" width="9.77734375" style="622" customWidth="1"/>
    <col min="8710" max="8710" width="24.6640625" style="622" customWidth="1"/>
    <col min="8711" max="8711" width="34.33203125" style="622" customWidth="1"/>
    <col min="8712" max="8712" width="11.77734375" style="622" bestFit="1" customWidth="1"/>
    <col min="8713" max="8713" width="15.6640625" style="622" bestFit="1" customWidth="1"/>
    <col min="8714" max="8714" width="11" style="622" bestFit="1" customWidth="1"/>
    <col min="8715" max="8715" width="15.109375" style="622" bestFit="1" customWidth="1"/>
    <col min="8716" max="8716" width="9.33203125" style="622"/>
    <col min="8717" max="8717" width="28.44140625" style="622" customWidth="1"/>
    <col min="8718" max="8960" width="9.33203125" style="622"/>
    <col min="8961" max="8961" width="4.33203125" style="622" customWidth="1"/>
    <col min="8962" max="8962" width="12" style="622" customWidth="1"/>
    <col min="8963" max="8963" width="27.33203125" style="622" customWidth="1"/>
    <col min="8964" max="8964" width="10.44140625" style="622" customWidth="1"/>
    <col min="8965" max="8965" width="9.77734375" style="622" customWidth="1"/>
    <col min="8966" max="8966" width="24.6640625" style="622" customWidth="1"/>
    <col min="8967" max="8967" width="34.33203125" style="622" customWidth="1"/>
    <col min="8968" max="8968" width="11.77734375" style="622" bestFit="1" customWidth="1"/>
    <col min="8969" max="8969" width="15.6640625" style="622" bestFit="1" customWidth="1"/>
    <col min="8970" max="8970" width="11" style="622" bestFit="1" customWidth="1"/>
    <col min="8971" max="8971" width="15.109375" style="622" bestFit="1" customWidth="1"/>
    <col min="8972" max="8972" width="9.33203125" style="622"/>
    <col min="8973" max="8973" width="28.44140625" style="622" customWidth="1"/>
    <col min="8974" max="9216" width="9.33203125" style="622"/>
    <col min="9217" max="9217" width="4.33203125" style="622" customWidth="1"/>
    <col min="9218" max="9218" width="12" style="622" customWidth="1"/>
    <col min="9219" max="9219" width="27.33203125" style="622" customWidth="1"/>
    <col min="9220" max="9220" width="10.44140625" style="622" customWidth="1"/>
    <col min="9221" max="9221" width="9.77734375" style="622" customWidth="1"/>
    <col min="9222" max="9222" width="24.6640625" style="622" customWidth="1"/>
    <col min="9223" max="9223" width="34.33203125" style="622" customWidth="1"/>
    <col min="9224" max="9224" width="11.77734375" style="622" bestFit="1" customWidth="1"/>
    <col min="9225" max="9225" width="15.6640625" style="622" bestFit="1" customWidth="1"/>
    <col min="9226" max="9226" width="11" style="622" bestFit="1" customWidth="1"/>
    <col min="9227" max="9227" width="15.109375" style="622" bestFit="1" customWidth="1"/>
    <col min="9228" max="9228" width="9.33203125" style="622"/>
    <col min="9229" max="9229" width="28.44140625" style="622" customWidth="1"/>
    <col min="9230" max="9472" width="9.33203125" style="622"/>
    <col min="9473" max="9473" width="4.33203125" style="622" customWidth="1"/>
    <col min="9474" max="9474" width="12" style="622" customWidth="1"/>
    <col min="9475" max="9475" width="27.33203125" style="622" customWidth="1"/>
    <col min="9476" max="9476" width="10.44140625" style="622" customWidth="1"/>
    <col min="9477" max="9477" width="9.77734375" style="622" customWidth="1"/>
    <col min="9478" max="9478" width="24.6640625" style="622" customWidth="1"/>
    <col min="9479" max="9479" width="34.33203125" style="622" customWidth="1"/>
    <col min="9480" max="9480" width="11.77734375" style="622" bestFit="1" customWidth="1"/>
    <col min="9481" max="9481" width="15.6640625" style="622" bestFit="1" customWidth="1"/>
    <col min="9482" max="9482" width="11" style="622" bestFit="1" customWidth="1"/>
    <col min="9483" max="9483" width="15.109375" style="622" bestFit="1" customWidth="1"/>
    <col min="9484" max="9484" width="9.33203125" style="622"/>
    <col min="9485" max="9485" width="28.44140625" style="622" customWidth="1"/>
    <col min="9486" max="9728" width="9.33203125" style="622"/>
    <col min="9729" max="9729" width="4.33203125" style="622" customWidth="1"/>
    <col min="9730" max="9730" width="12" style="622" customWidth="1"/>
    <col min="9731" max="9731" width="27.33203125" style="622" customWidth="1"/>
    <col min="9732" max="9732" width="10.44140625" style="622" customWidth="1"/>
    <col min="9733" max="9733" width="9.77734375" style="622" customWidth="1"/>
    <col min="9734" max="9734" width="24.6640625" style="622" customWidth="1"/>
    <col min="9735" max="9735" width="34.33203125" style="622" customWidth="1"/>
    <col min="9736" max="9736" width="11.77734375" style="622" bestFit="1" customWidth="1"/>
    <col min="9737" max="9737" width="15.6640625" style="622" bestFit="1" customWidth="1"/>
    <col min="9738" max="9738" width="11" style="622" bestFit="1" customWidth="1"/>
    <col min="9739" max="9739" width="15.109375" style="622" bestFit="1" customWidth="1"/>
    <col min="9740" max="9740" width="9.33203125" style="622"/>
    <col min="9741" max="9741" width="28.44140625" style="622" customWidth="1"/>
    <col min="9742" max="9984" width="9.33203125" style="622"/>
    <col min="9985" max="9985" width="4.33203125" style="622" customWidth="1"/>
    <col min="9986" max="9986" width="12" style="622" customWidth="1"/>
    <col min="9987" max="9987" width="27.33203125" style="622" customWidth="1"/>
    <col min="9988" max="9988" width="10.44140625" style="622" customWidth="1"/>
    <col min="9989" max="9989" width="9.77734375" style="622" customWidth="1"/>
    <col min="9990" max="9990" width="24.6640625" style="622" customWidth="1"/>
    <col min="9991" max="9991" width="34.33203125" style="622" customWidth="1"/>
    <col min="9992" max="9992" width="11.77734375" style="622" bestFit="1" customWidth="1"/>
    <col min="9993" max="9993" width="15.6640625" style="622" bestFit="1" customWidth="1"/>
    <col min="9994" max="9994" width="11" style="622" bestFit="1" customWidth="1"/>
    <col min="9995" max="9995" width="15.109375" style="622" bestFit="1" customWidth="1"/>
    <col min="9996" max="9996" width="9.33203125" style="622"/>
    <col min="9997" max="9997" width="28.44140625" style="622" customWidth="1"/>
    <col min="9998" max="10240" width="9.33203125" style="622"/>
    <col min="10241" max="10241" width="4.33203125" style="622" customWidth="1"/>
    <col min="10242" max="10242" width="12" style="622" customWidth="1"/>
    <col min="10243" max="10243" width="27.33203125" style="622" customWidth="1"/>
    <col min="10244" max="10244" width="10.44140625" style="622" customWidth="1"/>
    <col min="10245" max="10245" width="9.77734375" style="622" customWidth="1"/>
    <col min="10246" max="10246" width="24.6640625" style="622" customWidth="1"/>
    <col min="10247" max="10247" width="34.33203125" style="622" customWidth="1"/>
    <col min="10248" max="10248" width="11.77734375" style="622" bestFit="1" customWidth="1"/>
    <col min="10249" max="10249" width="15.6640625" style="622" bestFit="1" customWidth="1"/>
    <col min="10250" max="10250" width="11" style="622" bestFit="1" customWidth="1"/>
    <col min="10251" max="10251" width="15.109375" style="622" bestFit="1" customWidth="1"/>
    <col min="10252" max="10252" width="9.33203125" style="622"/>
    <col min="10253" max="10253" width="28.44140625" style="622" customWidth="1"/>
    <col min="10254" max="10496" width="9.33203125" style="622"/>
    <col min="10497" max="10497" width="4.33203125" style="622" customWidth="1"/>
    <col min="10498" max="10498" width="12" style="622" customWidth="1"/>
    <col min="10499" max="10499" width="27.33203125" style="622" customWidth="1"/>
    <col min="10500" max="10500" width="10.44140625" style="622" customWidth="1"/>
    <col min="10501" max="10501" width="9.77734375" style="622" customWidth="1"/>
    <col min="10502" max="10502" width="24.6640625" style="622" customWidth="1"/>
    <col min="10503" max="10503" width="34.33203125" style="622" customWidth="1"/>
    <col min="10504" max="10504" width="11.77734375" style="622" bestFit="1" customWidth="1"/>
    <col min="10505" max="10505" width="15.6640625" style="622" bestFit="1" customWidth="1"/>
    <col min="10506" max="10506" width="11" style="622" bestFit="1" customWidth="1"/>
    <col min="10507" max="10507" width="15.109375" style="622" bestFit="1" customWidth="1"/>
    <col min="10508" max="10508" width="9.33203125" style="622"/>
    <col min="10509" max="10509" width="28.44140625" style="622" customWidth="1"/>
    <col min="10510" max="10752" width="9.33203125" style="622"/>
    <col min="10753" max="10753" width="4.33203125" style="622" customWidth="1"/>
    <col min="10754" max="10754" width="12" style="622" customWidth="1"/>
    <col min="10755" max="10755" width="27.33203125" style="622" customWidth="1"/>
    <col min="10756" max="10756" width="10.44140625" style="622" customWidth="1"/>
    <col min="10757" max="10757" width="9.77734375" style="622" customWidth="1"/>
    <col min="10758" max="10758" width="24.6640625" style="622" customWidth="1"/>
    <col min="10759" max="10759" width="34.33203125" style="622" customWidth="1"/>
    <col min="10760" max="10760" width="11.77734375" style="622" bestFit="1" customWidth="1"/>
    <col min="10761" max="10761" width="15.6640625" style="622" bestFit="1" customWidth="1"/>
    <col min="10762" max="10762" width="11" style="622" bestFit="1" customWidth="1"/>
    <col min="10763" max="10763" width="15.109375" style="622" bestFit="1" customWidth="1"/>
    <col min="10764" max="10764" width="9.33203125" style="622"/>
    <col min="10765" max="10765" width="28.44140625" style="622" customWidth="1"/>
    <col min="10766" max="11008" width="9.33203125" style="622"/>
    <col min="11009" max="11009" width="4.33203125" style="622" customWidth="1"/>
    <col min="11010" max="11010" width="12" style="622" customWidth="1"/>
    <col min="11011" max="11011" width="27.33203125" style="622" customWidth="1"/>
    <col min="11012" max="11012" width="10.44140625" style="622" customWidth="1"/>
    <col min="11013" max="11013" width="9.77734375" style="622" customWidth="1"/>
    <col min="11014" max="11014" width="24.6640625" style="622" customWidth="1"/>
    <col min="11015" max="11015" width="34.33203125" style="622" customWidth="1"/>
    <col min="11016" max="11016" width="11.77734375" style="622" bestFit="1" customWidth="1"/>
    <col min="11017" max="11017" width="15.6640625" style="622" bestFit="1" customWidth="1"/>
    <col min="11018" max="11018" width="11" style="622" bestFit="1" customWidth="1"/>
    <col min="11019" max="11019" width="15.109375" style="622" bestFit="1" customWidth="1"/>
    <col min="11020" max="11020" width="9.33203125" style="622"/>
    <col min="11021" max="11021" width="28.44140625" style="622" customWidth="1"/>
    <col min="11022" max="11264" width="9.33203125" style="622"/>
    <col min="11265" max="11265" width="4.33203125" style="622" customWidth="1"/>
    <col min="11266" max="11266" width="12" style="622" customWidth="1"/>
    <col min="11267" max="11267" width="27.33203125" style="622" customWidth="1"/>
    <col min="11268" max="11268" width="10.44140625" style="622" customWidth="1"/>
    <col min="11269" max="11269" width="9.77734375" style="622" customWidth="1"/>
    <col min="11270" max="11270" width="24.6640625" style="622" customWidth="1"/>
    <col min="11271" max="11271" width="34.33203125" style="622" customWidth="1"/>
    <col min="11272" max="11272" width="11.77734375" style="622" bestFit="1" customWidth="1"/>
    <col min="11273" max="11273" width="15.6640625" style="622" bestFit="1" customWidth="1"/>
    <col min="11274" max="11274" width="11" style="622" bestFit="1" customWidth="1"/>
    <col min="11275" max="11275" width="15.109375" style="622" bestFit="1" customWidth="1"/>
    <col min="11276" max="11276" width="9.33203125" style="622"/>
    <col min="11277" max="11277" width="28.44140625" style="622" customWidth="1"/>
    <col min="11278" max="11520" width="9.33203125" style="622"/>
    <col min="11521" max="11521" width="4.33203125" style="622" customWidth="1"/>
    <col min="11522" max="11522" width="12" style="622" customWidth="1"/>
    <col min="11523" max="11523" width="27.33203125" style="622" customWidth="1"/>
    <col min="11524" max="11524" width="10.44140625" style="622" customWidth="1"/>
    <col min="11525" max="11525" width="9.77734375" style="622" customWidth="1"/>
    <col min="11526" max="11526" width="24.6640625" style="622" customWidth="1"/>
    <col min="11527" max="11527" width="34.33203125" style="622" customWidth="1"/>
    <col min="11528" max="11528" width="11.77734375" style="622" bestFit="1" customWidth="1"/>
    <col min="11529" max="11529" width="15.6640625" style="622" bestFit="1" customWidth="1"/>
    <col min="11530" max="11530" width="11" style="622" bestFit="1" customWidth="1"/>
    <col min="11531" max="11531" width="15.109375" style="622" bestFit="1" customWidth="1"/>
    <col min="11532" max="11532" width="9.33203125" style="622"/>
    <col min="11533" max="11533" width="28.44140625" style="622" customWidth="1"/>
    <col min="11534" max="11776" width="9.33203125" style="622"/>
    <col min="11777" max="11777" width="4.33203125" style="622" customWidth="1"/>
    <col min="11778" max="11778" width="12" style="622" customWidth="1"/>
    <col min="11779" max="11779" width="27.33203125" style="622" customWidth="1"/>
    <col min="11780" max="11780" width="10.44140625" style="622" customWidth="1"/>
    <col min="11781" max="11781" width="9.77734375" style="622" customWidth="1"/>
    <col min="11782" max="11782" width="24.6640625" style="622" customWidth="1"/>
    <col min="11783" max="11783" width="34.33203125" style="622" customWidth="1"/>
    <col min="11784" max="11784" width="11.77734375" style="622" bestFit="1" customWidth="1"/>
    <col min="11785" max="11785" width="15.6640625" style="622" bestFit="1" customWidth="1"/>
    <col min="11786" max="11786" width="11" style="622" bestFit="1" customWidth="1"/>
    <col min="11787" max="11787" width="15.109375" style="622" bestFit="1" customWidth="1"/>
    <col min="11788" max="11788" width="9.33203125" style="622"/>
    <col min="11789" max="11789" width="28.44140625" style="622" customWidth="1"/>
    <col min="11790" max="12032" width="9.33203125" style="622"/>
    <col min="12033" max="12033" width="4.33203125" style="622" customWidth="1"/>
    <col min="12034" max="12034" width="12" style="622" customWidth="1"/>
    <col min="12035" max="12035" width="27.33203125" style="622" customWidth="1"/>
    <col min="12036" max="12036" width="10.44140625" style="622" customWidth="1"/>
    <col min="12037" max="12037" width="9.77734375" style="622" customWidth="1"/>
    <col min="12038" max="12038" width="24.6640625" style="622" customWidth="1"/>
    <col min="12039" max="12039" width="34.33203125" style="622" customWidth="1"/>
    <col min="12040" max="12040" width="11.77734375" style="622" bestFit="1" customWidth="1"/>
    <col min="12041" max="12041" width="15.6640625" style="622" bestFit="1" customWidth="1"/>
    <col min="12042" max="12042" width="11" style="622" bestFit="1" customWidth="1"/>
    <col min="12043" max="12043" width="15.109375" style="622" bestFit="1" customWidth="1"/>
    <col min="12044" max="12044" width="9.33203125" style="622"/>
    <col min="12045" max="12045" width="28.44140625" style="622" customWidth="1"/>
    <col min="12046" max="12288" width="9.33203125" style="622"/>
    <col min="12289" max="12289" width="4.33203125" style="622" customWidth="1"/>
    <col min="12290" max="12290" width="12" style="622" customWidth="1"/>
    <col min="12291" max="12291" width="27.33203125" style="622" customWidth="1"/>
    <col min="12292" max="12292" width="10.44140625" style="622" customWidth="1"/>
    <col min="12293" max="12293" width="9.77734375" style="622" customWidth="1"/>
    <col min="12294" max="12294" width="24.6640625" style="622" customWidth="1"/>
    <col min="12295" max="12295" width="34.33203125" style="622" customWidth="1"/>
    <col min="12296" max="12296" width="11.77734375" style="622" bestFit="1" customWidth="1"/>
    <col min="12297" max="12297" width="15.6640625" style="622" bestFit="1" customWidth="1"/>
    <col min="12298" max="12298" width="11" style="622" bestFit="1" customWidth="1"/>
    <col min="12299" max="12299" width="15.109375" style="622" bestFit="1" customWidth="1"/>
    <col min="12300" max="12300" width="9.33203125" style="622"/>
    <col min="12301" max="12301" width="28.44140625" style="622" customWidth="1"/>
    <col min="12302" max="12544" width="9.33203125" style="622"/>
    <col min="12545" max="12545" width="4.33203125" style="622" customWidth="1"/>
    <col min="12546" max="12546" width="12" style="622" customWidth="1"/>
    <col min="12547" max="12547" width="27.33203125" style="622" customWidth="1"/>
    <col min="12548" max="12548" width="10.44140625" style="622" customWidth="1"/>
    <col min="12549" max="12549" width="9.77734375" style="622" customWidth="1"/>
    <col min="12550" max="12550" width="24.6640625" style="622" customWidth="1"/>
    <col min="12551" max="12551" width="34.33203125" style="622" customWidth="1"/>
    <col min="12552" max="12552" width="11.77734375" style="622" bestFit="1" customWidth="1"/>
    <col min="12553" max="12553" width="15.6640625" style="622" bestFit="1" customWidth="1"/>
    <col min="12554" max="12554" width="11" style="622" bestFit="1" customWidth="1"/>
    <col min="12555" max="12555" width="15.109375" style="622" bestFit="1" customWidth="1"/>
    <col min="12556" max="12556" width="9.33203125" style="622"/>
    <col min="12557" max="12557" width="28.44140625" style="622" customWidth="1"/>
    <col min="12558" max="12800" width="9.33203125" style="622"/>
    <col min="12801" max="12801" width="4.33203125" style="622" customWidth="1"/>
    <col min="12802" max="12802" width="12" style="622" customWidth="1"/>
    <col min="12803" max="12803" width="27.33203125" style="622" customWidth="1"/>
    <col min="12804" max="12804" width="10.44140625" style="622" customWidth="1"/>
    <col min="12805" max="12805" width="9.77734375" style="622" customWidth="1"/>
    <col min="12806" max="12806" width="24.6640625" style="622" customWidth="1"/>
    <col min="12807" max="12807" width="34.33203125" style="622" customWidth="1"/>
    <col min="12808" max="12808" width="11.77734375" style="622" bestFit="1" customWidth="1"/>
    <col min="12809" max="12809" width="15.6640625" style="622" bestFit="1" customWidth="1"/>
    <col min="12810" max="12810" width="11" style="622" bestFit="1" customWidth="1"/>
    <col min="12811" max="12811" width="15.109375" style="622" bestFit="1" customWidth="1"/>
    <col min="12812" max="12812" width="9.33203125" style="622"/>
    <col min="12813" max="12813" width="28.44140625" style="622" customWidth="1"/>
    <col min="12814" max="13056" width="9.33203125" style="622"/>
    <col min="13057" max="13057" width="4.33203125" style="622" customWidth="1"/>
    <col min="13058" max="13058" width="12" style="622" customWidth="1"/>
    <col min="13059" max="13059" width="27.33203125" style="622" customWidth="1"/>
    <col min="13060" max="13060" width="10.44140625" style="622" customWidth="1"/>
    <col min="13061" max="13061" width="9.77734375" style="622" customWidth="1"/>
    <col min="13062" max="13062" width="24.6640625" style="622" customWidth="1"/>
    <col min="13063" max="13063" width="34.33203125" style="622" customWidth="1"/>
    <col min="13064" max="13064" width="11.77734375" style="622" bestFit="1" customWidth="1"/>
    <col min="13065" max="13065" width="15.6640625" style="622" bestFit="1" customWidth="1"/>
    <col min="13066" max="13066" width="11" style="622" bestFit="1" customWidth="1"/>
    <col min="13067" max="13067" width="15.109375" style="622" bestFit="1" customWidth="1"/>
    <col min="13068" max="13068" width="9.33203125" style="622"/>
    <col min="13069" max="13069" width="28.44140625" style="622" customWidth="1"/>
    <col min="13070" max="13312" width="9.33203125" style="622"/>
    <col min="13313" max="13313" width="4.33203125" style="622" customWidth="1"/>
    <col min="13314" max="13314" width="12" style="622" customWidth="1"/>
    <col min="13315" max="13315" width="27.33203125" style="622" customWidth="1"/>
    <col min="13316" max="13316" width="10.44140625" style="622" customWidth="1"/>
    <col min="13317" max="13317" width="9.77734375" style="622" customWidth="1"/>
    <col min="13318" max="13318" width="24.6640625" style="622" customWidth="1"/>
    <col min="13319" max="13319" width="34.33203125" style="622" customWidth="1"/>
    <col min="13320" max="13320" width="11.77734375" style="622" bestFit="1" customWidth="1"/>
    <col min="13321" max="13321" width="15.6640625" style="622" bestFit="1" customWidth="1"/>
    <col min="13322" max="13322" width="11" style="622" bestFit="1" customWidth="1"/>
    <col min="13323" max="13323" width="15.109375" style="622" bestFit="1" customWidth="1"/>
    <col min="13324" max="13324" width="9.33203125" style="622"/>
    <col min="13325" max="13325" width="28.44140625" style="622" customWidth="1"/>
    <col min="13326" max="13568" width="9.33203125" style="622"/>
    <col min="13569" max="13569" width="4.33203125" style="622" customWidth="1"/>
    <col min="13570" max="13570" width="12" style="622" customWidth="1"/>
    <col min="13571" max="13571" width="27.33203125" style="622" customWidth="1"/>
    <col min="13572" max="13572" width="10.44140625" style="622" customWidth="1"/>
    <col min="13573" max="13573" width="9.77734375" style="622" customWidth="1"/>
    <col min="13574" max="13574" width="24.6640625" style="622" customWidth="1"/>
    <col min="13575" max="13575" width="34.33203125" style="622" customWidth="1"/>
    <col min="13576" max="13576" width="11.77734375" style="622" bestFit="1" customWidth="1"/>
    <col min="13577" max="13577" width="15.6640625" style="622" bestFit="1" customWidth="1"/>
    <col min="13578" max="13578" width="11" style="622" bestFit="1" customWidth="1"/>
    <col min="13579" max="13579" width="15.109375" style="622" bestFit="1" customWidth="1"/>
    <col min="13580" max="13580" width="9.33203125" style="622"/>
    <col min="13581" max="13581" width="28.44140625" style="622" customWidth="1"/>
    <col min="13582" max="13824" width="9.33203125" style="622"/>
    <col min="13825" max="13825" width="4.33203125" style="622" customWidth="1"/>
    <col min="13826" max="13826" width="12" style="622" customWidth="1"/>
    <col min="13827" max="13827" width="27.33203125" style="622" customWidth="1"/>
    <col min="13828" max="13828" width="10.44140625" style="622" customWidth="1"/>
    <col min="13829" max="13829" width="9.77734375" style="622" customWidth="1"/>
    <col min="13830" max="13830" width="24.6640625" style="622" customWidth="1"/>
    <col min="13831" max="13831" width="34.33203125" style="622" customWidth="1"/>
    <col min="13832" max="13832" width="11.77734375" style="622" bestFit="1" customWidth="1"/>
    <col min="13833" max="13833" width="15.6640625" style="622" bestFit="1" customWidth="1"/>
    <col min="13834" max="13834" width="11" style="622" bestFit="1" customWidth="1"/>
    <col min="13835" max="13835" width="15.109375" style="622" bestFit="1" customWidth="1"/>
    <col min="13836" max="13836" width="9.33203125" style="622"/>
    <col min="13837" max="13837" width="28.44140625" style="622" customWidth="1"/>
    <col min="13838" max="14080" width="9.33203125" style="622"/>
    <col min="14081" max="14081" width="4.33203125" style="622" customWidth="1"/>
    <col min="14082" max="14082" width="12" style="622" customWidth="1"/>
    <col min="14083" max="14083" width="27.33203125" style="622" customWidth="1"/>
    <col min="14084" max="14084" width="10.44140625" style="622" customWidth="1"/>
    <col min="14085" max="14085" width="9.77734375" style="622" customWidth="1"/>
    <col min="14086" max="14086" width="24.6640625" style="622" customWidth="1"/>
    <col min="14087" max="14087" width="34.33203125" style="622" customWidth="1"/>
    <col min="14088" max="14088" width="11.77734375" style="622" bestFit="1" customWidth="1"/>
    <col min="14089" max="14089" width="15.6640625" style="622" bestFit="1" customWidth="1"/>
    <col min="14090" max="14090" width="11" style="622" bestFit="1" customWidth="1"/>
    <col min="14091" max="14091" width="15.109375" style="622" bestFit="1" customWidth="1"/>
    <col min="14092" max="14092" width="9.33203125" style="622"/>
    <col min="14093" max="14093" width="28.44140625" style="622" customWidth="1"/>
    <col min="14094" max="14336" width="9.33203125" style="622"/>
    <col min="14337" max="14337" width="4.33203125" style="622" customWidth="1"/>
    <col min="14338" max="14338" width="12" style="622" customWidth="1"/>
    <col min="14339" max="14339" width="27.33203125" style="622" customWidth="1"/>
    <col min="14340" max="14340" width="10.44140625" style="622" customWidth="1"/>
    <col min="14341" max="14341" width="9.77734375" style="622" customWidth="1"/>
    <col min="14342" max="14342" width="24.6640625" style="622" customWidth="1"/>
    <col min="14343" max="14343" width="34.33203125" style="622" customWidth="1"/>
    <col min="14344" max="14344" width="11.77734375" style="622" bestFit="1" customWidth="1"/>
    <col min="14345" max="14345" width="15.6640625" style="622" bestFit="1" customWidth="1"/>
    <col min="14346" max="14346" width="11" style="622" bestFit="1" customWidth="1"/>
    <col min="14347" max="14347" width="15.109375" style="622" bestFit="1" customWidth="1"/>
    <col min="14348" max="14348" width="9.33203125" style="622"/>
    <col min="14349" max="14349" width="28.44140625" style="622" customWidth="1"/>
    <col min="14350" max="14592" width="9.33203125" style="622"/>
    <col min="14593" max="14593" width="4.33203125" style="622" customWidth="1"/>
    <col min="14594" max="14594" width="12" style="622" customWidth="1"/>
    <col min="14595" max="14595" width="27.33203125" style="622" customWidth="1"/>
    <col min="14596" max="14596" width="10.44140625" style="622" customWidth="1"/>
    <col min="14597" max="14597" width="9.77734375" style="622" customWidth="1"/>
    <col min="14598" max="14598" width="24.6640625" style="622" customWidth="1"/>
    <col min="14599" max="14599" width="34.33203125" style="622" customWidth="1"/>
    <col min="14600" max="14600" width="11.77734375" style="622" bestFit="1" customWidth="1"/>
    <col min="14601" max="14601" width="15.6640625" style="622" bestFit="1" customWidth="1"/>
    <col min="14602" max="14602" width="11" style="622" bestFit="1" customWidth="1"/>
    <col min="14603" max="14603" width="15.109375" style="622" bestFit="1" customWidth="1"/>
    <col min="14604" max="14604" width="9.33203125" style="622"/>
    <col min="14605" max="14605" width="28.44140625" style="622" customWidth="1"/>
    <col min="14606" max="14848" width="9.33203125" style="622"/>
    <col min="14849" max="14849" width="4.33203125" style="622" customWidth="1"/>
    <col min="14850" max="14850" width="12" style="622" customWidth="1"/>
    <col min="14851" max="14851" width="27.33203125" style="622" customWidth="1"/>
    <col min="14852" max="14852" width="10.44140625" style="622" customWidth="1"/>
    <col min="14853" max="14853" width="9.77734375" style="622" customWidth="1"/>
    <col min="14854" max="14854" width="24.6640625" style="622" customWidth="1"/>
    <col min="14855" max="14855" width="34.33203125" style="622" customWidth="1"/>
    <col min="14856" max="14856" width="11.77734375" style="622" bestFit="1" customWidth="1"/>
    <col min="14857" max="14857" width="15.6640625" style="622" bestFit="1" customWidth="1"/>
    <col min="14858" max="14858" width="11" style="622" bestFit="1" customWidth="1"/>
    <col min="14859" max="14859" width="15.109375" style="622" bestFit="1" customWidth="1"/>
    <col min="14860" max="14860" width="9.33203125" style="622"/>
    <col min="14861" max="14861" width="28.44140625" style="622" customWidth="1"/>
    <col min="14862" max="15104" width="9.33203125" style="622"/>
    <col min="15105" max="15105" width="4.33203125" style="622" customWidth="1"/>
    <col min="15106" max="15106" width="12" style="622" customWidth="1"/>
    <col min="15107" max="15107" width="27.33203125" style="622" customWidth="1"/>
    <col min="15108" max="15108" width="10.44140625" style="622" customWidth="1"/>
    <col min="15109" max="15109" width="9.77734375" style="622" customWidth="1"/>
    <col min="15110" max="15110" width="24.6640625" style="622" customWidth="1"/>
    <col min="15111" max="15111" width="34.33203125" style="622" customWidth="1"/>
    <col min="15112" max="15112" width="11.77734375" style="622" bestFit="1" customWidth="1"/>
    <col min="15113" max="15113" width="15.6640625" style="622" bestFit="1" customWidth="1"/>
    <col min="15114" max="15114" width="11" style="622" bestFit="1" customWidth="1"/>
    <col min="15115" max="15115" width="15.109375" style="622" bestFit="1" customWidth="1"/>
    <col min="15116" max="15116" width="9.33203125" style="622"/>
    <col min="15117" max="15117" width="28.44140625" style="622" customWidth="1"/>
    <col min="15118" max="15360" width="9.33203125" style="622"/>
    <col min="15361" max="15361" width="4.33203125" style="622" customWidth="1"/>
    <col min="15362" max="15362" width="12" style="622" customWidth="1"/>
    <col min="15363" max="15363" width="27.33203125" style="622" customWidth="1"/>
    <col min="15364" max="15364" width="10.44140625" style="622" customWidth="1"/>
    <col min="15365" max="15365" width="9.77734375" style="622" customWidth="1"/>
    <col min="15366" max="15366" width="24.6640625" style="622" customWidth="1"/>
    <col min="15367" max="15367" width="34.33203125" style="622" customWidth="1"/>
    <col min="15368" max="15368" width="11.77734375" style="622" bestFit="1" customWidth="1"/>
    <col min="15369" max="15369" width="15.6640625" style="622" bestFit="1" customWidth="1"/>
    <col min="15370" max="15370" width="11" style="622" bestFit="1" customWidth="1"/>
    <col min="15371" max="15371" width="15.109375" style="622" bestFit="1" customWidth="1"/>
    <col min="15372" max="15372" width="9.33203125" style="622"/>
    <col min="15373" max="15373" width="28.44140625" style="622" customWidth="1"/>
    <col min="15374" max="15616" width="9.33203125" style="622"/>
    <col min="15617" max="15617" width="4.33203125" style="622" customWidth="1"/>
    <col min="15618" max="15618" width="12" style="622" customWidth="1"/>
    <col min="15619" max="15619" width="27.33203125" style="622" customWidth="1"/>
    <col min="15620" max="15620" width="10.44140625" style="622" customWidth="1"/>
    <col min="15621" max="15621" width="9.77734375" style="622" customWidth="1"/>
    <col min="15622" max="15622" width="24.6640625" style="622" customWidth="1"/>
    <col min="15623" max="15623" width="34.33203125" style="622" customWidth="1"/>
    <col min="15624" max="15624" width="11.77734375" style="622" bestFit="1" customWidth="1"/>
    <col min="15625" max="15625" width="15.6640625" style="622" bestFit="1" customWidth="1"/>
    <col min="15626" max="15626" width="11" style="622" bestFit="1" customWidth="1"/>
    <col min="15627" max="15627" width="15.109375" style="622" bestFit="1" customWidth="1"/>
    <col min="15628" max="15628" width="9.33203125" style="622"/>
    <col min="15629" max="15629" width="28.44140625" style="622" customWidth="1"/>
    <col min="15630" max="15872" width="9.33203125" style="622"/>
    <col min="15873" max="15873" width="4.33203125" style="622" customWidth="1"/>
    <col min="15874" max="15874" width="12" style="622" customWidth="1"/>
    <col min="15875" max="15875" width="27.33203125" style="622" customWidth="1"/>
    <col min="15876" max="15876" width="10.44140625" style="622" customWidth="1"/>
    <col min="15877" max="15877" width="9.77734375" style="622" customWidth="1"/>
    <col min="15878" max="15878" width="24.6640625" style="622" customWidth="1"/>
    <col min="15879" max="15879" width="34.33203125" style="622" customWidth="1"/>
    <col min="15880" max="15880" width="11.77734375" style="622" bestFit="1" customWidth="1"/>
    <col min="15881" max="15881" width="15.6640625" style="622" bestFit="1" customWidth="1"/>
    <col min="15882" max="15882" width="11" style="622" bestFit="1" customWidth="1"/>
    <col min="15883" max="15883" width="15.109375" style="622" bestFit="1" customWidth="1"/>
    <col min="15884" max="15884" width="9.33203125" style="622"/>
    <col min="15885" max="15885" width="28.44140625" style="622" customWidth="1"/>
    <col min="15886" max="16128" width="9.33203125" style="622"/>
    <col min="16129" max="16129" width="4.33203125" style="622" customWidth="1"/>
    <col min="16130" max="16130" width="12" style="622" customWidth="1"/>
    <col min="16131" max="16131" width="27.33203125" style="622" customWidth="1"/>
    <col min="16132" max="16132" width="10.44140625" style="622" customWidth="1"/>
    <col min="16133" max="16133" width="9.77734375" style="622" customWidth="1"/>
    <col min="16134" max="16134" width="24.6640625" style="622" customWidth="1"/>
    <col min="16135" max="16135" width="34.33203125" style="622" customWidth="1"/>
    <col min="16136" max="16136" width="11.77734375" style="622" bestFit="1" customWidth="1"/>
    <col min="16137" max="16137" width="15.6640625" style="622" bestFit="1" customWidth="1"/>
    <col min="16138" max="16138" width="11" style="622" bestFit="1" customWidth="1"/>
    <col min="16139" max="16139" width="15.109375" style="622" bestFit="1" customWidth="1"/>
    <col min="16140" max="16140" width="9.33203125" style="622"/>
    <col min="16141" max="16141" width="28.44140625" style="622" customWidth="1"/>
    <col min="16142" max="16384" width="9.33203125" style="622"/>
  </cols>
  <sheetData>
    <row r="1" spans="1:11" ht="14.4" x14ac:dyDescent="0.25">
      <c r="A1" s="723"/>
      <c r="B1" s="723"/>
      <c r="C1" s="723"/>
      <c r="D1" s="724"/>
      <c r="E1" s="724"/>
      <c r="F1" s="724"/>
      <c r="G1" s="724"/>
      <c r="H1" s="244" t="s">
        <v>586</v>
      </c>
    </row>
    <row r="2" spans="1:11" ht="17.399999999999999" x14ac:dyDescent="0.25">
      <c r="A2" s="1577" t="s">
        <v>534</v>
      </c>
      <c r="B2" s="1577"/>
      <c r="C2" s="1577"/>
      <c r="D2" s="1577"/>
      <c r="E2" s="1577"/>
      <c r="F2" s="1577"/>
      <c r="G2" s="1577"/>
      <c r="H2" s="244" t="s">
        <v>587</v>
      </c>
      <c r="I2" s="619">
        <f>G45</f>
        <v>45571100</v>
      </c>
    </row>
    <row r="3" spans="1:11" x14ac:dyDescent="0.25">
      <c r="A3" s="724"/>
      <c r="B3" s="724"/>
      <c r="C3" s="724"/>
      <c r="D3" s="724"/>
      <c r="E3" s="724"/>
      <c r="F3" s="724"/>
      <c r="G3" s="724"/>
    </row>
    <row r="4" spans="1:11" x14ac:dyDescent="0.25">
      <c r="A4" s="724" t="s">
        <v>535</v>
      </c>
      <c r="B4" s="724"/>
      <c r="C4" s="724" t="str">
        <f>[8]DATA!D13</f>
        <v>: Jawa Timur</v>
      </c>
      <c r="D4" s="724"/>
      <c r="E4" s="724"/>
      <c r="F4" s="725" t="s">
        <v>642</v>
      </c>
      <c r="G4" s="725" t="s">
        <v>795</v>
      </c>
    </row>
    <row r="5" spans="1:11" x14ac:dyDescent="0.25">
      <c r="A5" s="724" t="s">
        <v>536</v>
      </c>
      <c r="B5" s="724"/>
      <c r="C5" s="724" t="str">
        <f>[8]DATA!D12</f>
        <v>: Malang</v>
      </c>
      <c r="D5" s="724"/>
      <c r="E5" s="724"/>
      <c r="F5" s="725" t="s">
        <v>537</v>
      </c>
      <c r="G5" s="725" t="str">
        <f>[17]DATA!D26</f>
        <v>: P3MD Kemendesa</v>
      </c>
    </row>
    <row r="6" spans="1:11" x14ac:dyDescent="0.25">
      <c r="A6" s="724" t="s">
        <v>538</v>
      </c>
      <c r="B6" s="724"/>
      <c r="C6" s="724" t="str">
        <f>[17]DATA!D11</f>
        <v>: Wagir</v>
      </c>
      <c r="D6" s="724"/>
      <c r="E6" s="724"/>
      <c r="F6" s="725" t="s">
        <v>28</v>
      </c>
      <c r="G6" s="725" t="str">
        <f>[17]DATA!C35</f>
        <v xml:space="preserve">: Drainase Beton </v>
      </c>
    </row>
    <row r="7" spans="1:11" x14ac:dyDescent="0.25">
      <c r="A7" s="724" t="s">
        <v>43</v>
      </c>
      <c r="B7" s="724"/>
      <c r="C7" s="724" t="str">
        <f>[17]DATA!D10</f>
        <v>: Pandanlandung</v>
      </c>
      <c r="D7" s="724"/>
      <c r="E7" s="724"/>
      <c r="F7" s="725" t="s">
        <v>539</v>
      </c>
      <c r="G7" s="725" t="str">
        <f>[17]DATA!D35</f>
        <v>: 216m x 0.4m x 0,35m</v>
      </c>
    </row>
    <row r="8" spans="1:11" ht="14.4" thickBot="1" x14ac:dyDescent="0.3">
      <c r="A8" s="724"/>
      <c r="B8" s="724"/>
      <c r="C8" s="724"/>
      <c r="D8" s="724"/>
      <c r="E8" s="724"/>
      <c r="F8" s="724"/>
      <c r="G8" s="724"/>
    </row>
    <row r="9" spans="1:11" ht="24" customHeight="1" x14ac:dyDescent="0.25">
      <c r="A9" s="1578" t="s">
        <v>540</v>
      </c>
      <c r="B9" s="1578"/>
      <c r="C9" s="1578"/>
      <c r="D9" s="1580" t="s">
        <v>541</v>
      </c>
      <c r="E9" s="1578" t="s">
        <v>542</v>
      </c>
      <c r="F9" s="1578" t="s">
        <v>543</v>
      </c>
      <c r="G9" s="1578" t="s">
        <v>544</v>
      </c>
    </row>
    <row r="10" spans="1:11" ht="24" customHeight="1" thickBot="1" x14ac:dyDescent="0.3">
      <c r="A10" s="1579"/>
      <c r="B10" s="1579"/>
      <c r="C10" s="1579"/>
      <c r="D10" s="1581"/>
      <c r="E10" s="1579"/>
      <c r="F10" s="1579"/>
      <c r="G10" s="1579"/>
    </row>
    <row r="11" spans="1:11" x14ac:dyDescent="0.25">
      <c r="A11" s="726" t="s">
        <v>545</v>
      </c>
      <c r="B11" s="727"/>
      <c r="C11" s="728"/>
      <c r="D11" s="729"/>
      <c r="E11" s="730"/>
      <c r="F11" s="730"/>
      <c r="G11" s="731"/>
    </row>
    <row r="12" spans="1:11" x14ac:dyDescent="0.25">
      <c r="A12" s="732" t="s">
        <v>546</v>
      </c>
      <c r="B12" s="733" t="s">
        <v>547</v>
      </c>
      <c r="C12" s="734"/>
      <c r="D12" s="735"/>
      <c r="E12" s="736"/>
      <c r="F12" s="735"/>
      <c r="G12" s="737">
        <f>SUM(G13:G22)+G23</f>
        <v>30766600</v>
      </c>
      <c r="I12" s="738"/>
    </row>
    <row r="13" spans="1:11" x14ac:dyDescent="0.25">
      <c r="A13" s="529">
        <v>1</v>
      </c>
      <c r="B13" s="739" t="str">
        <f>'[17]HARGA SATUAN'!B11</f>
        <v>Pasir Cor</v>
      </c>
      <c r="C13" s="531"/>
      <c r="D13" s="740">
        <f>'[17]ANALISA GG PLAT'!D65</f>
        <v>7</v>
      </c>
      <c r="E13" s="741" t="s">
        <v>548</v>
      </c>
      <c r="F13" s="742">
        <f>'[17]HARGA SATUAN'!N11</f>
        <v>287500</v>
      </c>
      <c r="G13" s="579">
        <f t="shared" ref="G13:G21" si="0">D13*F13</f>
        <v>2012500</v>
      </c>
      <c r="I13" s="738"/>
      <c r="K13" s="738"/>
    </row>
    <row r="14" spans="1:11" x14ac:dyDescent="0.25">
      <c r="A14" s="529">
        <f>A13+1</f>
        <v>2</v>
      </c>
      <c r="B14" s="739" t="str">
        <f>'[17]ANALISA GG PLAT'!B64</f>
        <v>Pasir Pasang</v>
      </c>
      <c r="C14" s="531"/>
      <c r="D14" s="740">
        <f>'[17]ANALISA GG PLAT'!D64</f>
        <v>2</v>
      </c>
      <c r="E14" s="743" t="s">
        <v>548</v>
      </c>
      <c r="F14" s="742">
        <f>'[17]HARGA SATUAN'!N8</f>
        <v>156900</v>
      </c>
      <c r="G14" s="579">
        <f t="shared" si="0"/>
        <v>313800</v>
      </c>
      <c r="I14" s="738"/>
      <c r="K14" s="738"/>
    </row>
    <row r="15" spans="1:11" x14ac:dyDescent="0.25">
      <c r="A15" s="529">
        <f t="shared" ref="A15:A23" si="1">A14+1</f>
        <v>3</v>
      </c>
      <c r="B15" s="739" t="s">
        <v>549</v>
      </c>
      <c r="C15" s="531"/>
      <c r="D15" s="740">
        <f>'[17]ANALISA GG PLAT'!D66</f>
        <v>10</v>
      </c>
      <c r="E15" s="744" t="s">
        <v>548</v>
      </c>
      <c r="F15" s="742">
        <f>'[17]HARGA SATUAN'!N13</f>
        <v>261400</v>
      </c>
      <c r="G15" s="579">
        <f t="shared" si="0"/>
        <v>2614000</v>
      </c>
      <c r="I15" s="738"/>
      <c r="K15" s="738"/>
    </row>
    <row r="16" spans="1:11" x14ac:dyDescent="0.25">
      <c r="A16" s="529">
        <f t="shared" si="1"/>
        <v>4</v>
      </c>
      <c r="B16" s="739" t="s">
        <v>550</v>
      </c>
      <c r="C16" s="531"/>
      <c r="D16" s="740">
        <f>'[17]ANALISA GG PLAT'!D67</f>
        <v>118</v>
      </c>
      <c r="E16" s="741" t="s">
        <v>551</v>
      </c>
      <c r="F16" s="742">
        <f>'[17]HARGA SATUAN'!N14</f>
        <v>75400</v>
      </c>
      <c r="G16" s="579">
        <f t="shared" si="0"/>
        <v>8897200</v>
      </c>
      <c r="I16" s="738"/>
      <c r="K16" s="738"/>
    </row>
    <row r="17" spans="1:11" x14ac:dyDescent="0.25">
      <c r="A17" s="529">
        <f t="shared" si="1"/>
        <v>5</v>
      </c>
      <c r="B17" s="739" t="s">
        <v>552</v>
      </c>
      <c r="C17" s="531"/>
      <c r="D17" s="740">
        <f>'[17]ANALISA GG PLAT'!D69</f>
        <v>98</v>
      </c>
      <c r="E17" s="744" t="s">
        <v>553</v>
      </c>
      <c r="F17" s="742">
        <f>'[17]HARGA SATUAN'!N15</f>
        <v>75400</v>
      </c>
      <c r="G17" s="579">
        <f t="shared" si="0"/>
        <v>7389200</v>
      </c>
      <c r="I17" s="738"/>
      <c r="K17" s="738"/>
    </row>
    <row r="18" spans="1:11" x14ac:dyDescent="0.25">
      <c r="A18" s="529">
        <f t="shared" si="1"/>
        <v>6</v>
      </c>
      <c r="B18" s="739" t="s">
        <v>554</v>
      </c>
      <c r="C18" s="531"/>
      <c r="D18" s="740">
        <f>'[17]ANALISA GG PLAT'!D68</f>
        <v>54</v>
      </c>
      <c r="E18" s="744" t="s">
        <v>553</v>
      </c>
      <c r="F18" s="742">
        <f>'[17]HARGA SATUAN'!N16</f>
        <v>110100</v>
      </c>
      <c r="G18" s="579">
        <f t="shared" si="0"/>
        <v>5945400</v>
      </c>
      <c r="I18" s="738"/>
      <c r="K18" s="738"/>
    </row>
    <row r="19" spans="1:11" x14ac:dyDescent="0.25">
      <c r="A19" s="529">
        <f t="shared" si="1"/>
        <v>7</v>
      </c>
      <c r="B19" s="739" t="s">
        <v>555</v>
      </c>
      <c r="C19" s="531"/>
      <c r="D19" s="740">
        <f>'[17]ANALISA GG PLAT'!D70</f>
        <v>12</v>
      </c>
      <c r="E19" s="744" t="s">
        <v>236</v>
      </c>
      <c r="F19" s="742">
        <f>'[17]HARGA SATUAN'!N21</f>
        <v>115900</v>
      </c>
      <c r="G19" s="579">
        <f t="shared" si="0"/>
        <v>1390800</v>
      </c>
      <c r="I19" s="738"/>
      <c r="K19" s="738"/>
    </row>
    <row r="20" spans="1:11" x14ac:dyDescent="0.25">
      <c r="A20" s="529">
        <f t="shared" si="1"/>
        <v>8</v>
      </c>
      <c r="B20" s="739" t="s">
        <v>556</v>
      </c>
      <c r="C20" s="531"/>
      <c r="D20" s="740">
        <f>'[17]ANALISA GG PLAT'!D71</f>
        <v>8</v>
      </c>
      <c r="E20" s="744" t="s">
        <v>314</v>
      </c>
      <c r="F20" s="742">
        <f>'[17]HARGA SATUAN'!N19</f>
        <v>29000</v>
      </c>
      <c r="G20" s="579">
        <f t="shared" si="0"/>
        <v>232000</v>
      </c>
      <c r="I20" s="738"/>
      <c r="K20" s="738"/>
    </row>
    <row r="21" spans="1:11" x14ac:dyDescent="0.25">
      <c r="A21" s="529">
        <f t="shared" si="1"/>
        <v>9</v>
      </c>
      <c r="B21" s="739" t="s">
        <v>557</v>
      </c>
      <c r="C21" s="531"/>
      <c r="D21" s="740">
        <f>'[17]ANALISA GG PLAT'!D72</f>
        <v>3</v>
      </c>
      <c r="E21" s="744" t="s">
        <v>314</v>
      </c>
      <c r="F21" s="742">
        <f>'[17]HARGA SATUAN'!N20</f>
        <v>29000</v>
      </c>
      <c r="G21" s="579">
        <f t="shared" si="0"/>
        <v>87000</v>
      </c>
      <c r="I21" s="738"/>
      <c r="K21" s="738"/>
    </row>
    <row r="22" spans="1:11" x14ac:dyDescent="0.25">
      <c r="A22" s="529">
        <f t="shared" si="1"/>
        <v>10</v>
      </c>
      <c r="B22" s="547" t="s">
        <v>558</v>
      </c>
      <c r="C22" s="531"/>
      <c r="D22" s="740">
        <f>'[17]ANALISA GG PLAT'!D73</f>
        <v>53</v>
      </c>
      <c r="E22" s="744" t="s">
        <v>553</v>
      </c>
      <c r="F22" s="742">
        <f>'[17]HARGA SATUAN'!N22</f>
        <v>29000</v>
      </c>
      <c r="G22" s="579">
        <f>D22*F22</f>
        <v>1537000</v>
      </c>
      <c r="I22" s="738"/>
      <c r="K22" s="738"/>
    </row>
    <row r="23" spans="1:11" x14ac:dyDescent="0.25">
      <c r="A23" s="529">
        <f t="shared" si="1"/>
        <v>11</v>
      </c>
      <c r="B23" s="745" t="str">
        <f>'[17]HARGA SATUAN'!B24</f>
        <v>Prasasti</v>
      </c>
      <c r="C23" s="541"/>
      <c r="D23" s="746">
        <v>1</v>
      </c>
      <c r="E23" s="747" t="s">
        <v>317</v>
      </c>
      <c r="F23" s="748">
        <f>'[17]HARGA SATUAN'!N24</f>
        <v>347700</v>
      </c>
      <c r="G23" s="579">
        <f>D23*F23</f>
        <v>347700</v>
      </c>
      <c r="I23" s="738"/>
      <c r="K23" s="738"/>
    </row>
    <row r="24" spans="1:11" x14ac:dyDescent="0.25">
      <c r="A24" s="749"/>
      <c r="B24" s="750"/>
      <c r="C24" s="751"/>
      <c r="D24" s="752"/>
      <c r="E24" s="751"/>
      <c r="F24" s="753" t="s">
        <v>559</v>
      </c>
      <c r="G24" s="754">
        <f>G12</f>
        <v>30766600</v>
      </c>
      <c r="I24" s="738"/>
      <c r="K24" s="738"/>
    </row>
    <row r="25" spans="1:11" x14ac:dyDescent="0.25">
      <c r="A25" s="755" t="s">
        <v>560</v>
      </c>
      <c r="B25" s="756"/>
      <c r="C25" s="757"/>
      <c r="D25" s="758"/>
      <c r="E25" s="757"/>
      <c r="F25" s="757"/>
      <c r="G25" s="759"/>
      <c r="I25" s="738"/>
      <c r="K25" s="738"/>
    </row>
    <row r="26" spans="1:11" x14ac:dyDescent="0.25">
      <c r="A26" s="732" t="s">
        <v>546</v>
      </c>
      <c r="B26" s="734" t="s">
        <v>561</v>
      </c>
      <c r="C26" s="736"/>
      <c r="D26" s="735"/>
      <c r="E26" s="569"/>
      <c r="F26" s="760"/>
      <c r="G26" s="737">
        <f>G33</f>
        <v>1122100</v>
      </c>
      <c r="I26" s="738"/>
      <c r="K26" s="738"/>
    </row>
    <row r="27" spans="1:11" s="767" customFormat="1" x14ac:dyDescent="0.25">
      <c r="A27" s="761">
        <v>1</v>
      </c>
      <c r="B27" s="762" t="s">
        <v>562</v>
      </c>
      <c r="C27" s="763"/>
      <c r="D27" s="575">
        <v>10</v>
      </c>
      <c r="E27" s="764" t="s">
        <v>317</v>
      </c>
      <c r="F27" s="765">
        <f>'[17]HARGA SATUAN'!N36</f>
        <v>11600</v>
      </c>
      <c r="G27" s="579">
        <f t="shared" ref="G27:G32" si="2">D27*F27</f>
        <v>116000</v>
      </c>
      <c r="H27" s="622"/>
      <c r="I27" s="738"/>
      <c r="J27" s="622"/>
      <c r="K27" s="766"/>
    </row>
    <row r="28" spans="1:11" s="767" customFormat="1" x14ac:dyDescent="0.25">
      <c r="A28" s="761">
        <v>2</v>
      </c>
      <c r="B28" s="762" t="s">
        <v>563</v>
      </c>
      <c r="C28" s="763"/>
      <c r="D28" s="575">
        <v>1</v>
      </c>
      <c r="E28" s="764" t="s">
        <v>38</v>
      </c>
      <c r="F28" s="765">
        <f>'[17]HARGA SATUAN'!N25</f>
        <v>3500</v>
      </c>
      <c r="G28" s="579">
        <f t="shared" si="2"/>
        <v>3500</v>
      </c>
      <c r="H28" s="622"/>
      <c r="I28" s="738"/>
      <c r="J28" s="622"/>
      <c r="K28" s="766"/>
    </row>
    <row r="29" spans="1:11" s="767" customFormat="1" x14ac:dyDescent="0.25">
      <c r="A29" s="761">
        <v>3</v>
      </c>
      <c r="B29" s="762" t="s">
        <v>564</v>
      </c>
      <c r="C29" s="763"/>
      <c r="D29" s="575">
        <v>1</v>
      </c>
      <c r="E29" s="764" t="s">
        <v>317</v>
      </c>
      <c r="F29" s="765">
        <f>'[17]HARGA SATUAN'!N38</f>
        <v>753200</v>
      </c>
      <c r="G29" s="579">
        <f t="shared" si="2"/>
        <v>753200</v>
      </c>
      <c r="H29" s="622"/>
      <c r="I29" s="738"/>
      <c r="J29" s="622"/>
      <c r="K29" s="766"/>
    </row>
    <row r="30" spans="1:11" s="767" customFormat="1" x14ac:dyDescent="0.25">
      <c r="A30" s="761">
        <v>4</v>
      </c>
      <c r="B30" s="762" t="s">
        <v>796</v>
      </c>
      <c r="C30" s="763"/>
      <c r="D30" s="575">
        <v>0</v>
      </c>
      <c r="E30" s="764" t="s">
        <v>317</v>
      </c>
      <c r="F30" s="765">
        <f>'[17]HARGA SATUAN'!N32</f>
        <v>0</v>
      </c>
      <c r="G30" s="579">
        <f t="shared" si="2"/>
        <v>0</v>
      </c>
      <c r="H30" s="622"/>
      <c r="I30" s="738"/>
      <c r="J30" s="622"/>
      <c r="K30" s="766"/>
    </row>
    <row r="31" spans="1:11" s="767" customFormat="1" x14ac:dyDescent="0.25">
      <c r="A31" s="761">
        <v>5</v>
      </c>
      <c r="B31" s="762" t="s">
        <v>664</v>
      </c>
      <c r="C31" s="763"/>
      <c r="D31" s="575">
        <v>3</v>
      </c>
      <c r="E31" s="764" t="s">
        <v>317</v>
      </c>
      <c r="F31" s="765">
        <f>'[17]HARGA SATUAN'!N31</f>
        <v>75400</v>
      </c>
      <c r="G31" s="579">
        <f t="shared" si="2"/>
        <v>226200</v>
      </c>
      <c r="H31" s="622"/>
      <c r="I31" s="738"/>
      <c r="J31" s="622"/>
      <c r="K31" s="766"/>
    </row>
    <row r="32" spans="1:11" s="767" customFormat="1" x14ac:dyDescent="0.25">
      <c r="A32" s="768">
        <v>6</v>
      </c>
      <c r="B32" s="769" t="s">
        <v>565</v>
      </c>
      <c r="C32" s="770"/>
      <c r="D32" s="771">
        <v>2</v>
      </c>
      <c r="E32" s="772" t="s">
        <v>317</v>
      </c>
      <c r="F32" s="773">
        <f>'[17]HARGA SATUAN'!N27</f>
        <v>11600</v>
      </c>
      <c r="G32" s="579">
        <f t="shared" si="2"/>
        <v>23200</v>
      </c>
      <c r="H32" s="622"/>
      <c r="I32" s="738"/>
      <c r="J32" s="622"/>
      <c r="K32" s="766"/>
    </row>
    <row r="33" spans="1:13" x14ac:dyDescent="0.25">
      <c r="A33" s="749"/>
      <c r="B33" s="751"/>
      <c r="C33" s="751"/>
      <c r="D33" s="752"/>
      <c r="E33" s="751"/>
      <c r="F33" s="753" t="s">
        <v>566</v>
      </c>
      <c r="G33" s="754">
        <f>SUM(G27:G32)</f>
        <v>1122100</v>
      </c>
      <c r="I33" s="738"/>
      <c r="K33" s="738"/>
    </row>
    <row r="34" spans="1:13" x14ac:dyDescent="0.25">
      <c r="A34" s="726" t="s">
        <v>567</v>
      </c>
      <c r="B34" s="727"/>
      <c r="C34" s="774"/>
      <c r="D34" s="775"/>
      <c r="E34" s="776"/>
      <c r="F34" s="777"/>
      <c r="G34" s="778"/>
      <c r="H34" s="591"/>
    </row>
    <row r="35" spans="1:13" x14ac:dyDescent="0.25">
      <c r="A35" s="761">
        <v>1</v>
      </c>
      <c r="B35" s="779" t="s">
        <v>568</v>
      </c>
      <c r="C35" s="780"/>
      <c r="D35" s="781">
        <f>'[17]ANALISA GG PLAT'!D74</f>
        <v>60</v>
      </c>
      <c r="E35" s="782" t="s">
        <v>569</v>
      </c>
      <c r="F35" s="599">
        <f>'[17]HARGA SATUAN'!E41</f>
        <v>100000</v>
      </c>
      <c r="G35" s="783">
        <f>D35*F35</f>
        <v>6000000</v>
      </c>
      <c r="H35" s="591"/>
      <c r="I35" s="784"/>
    </row>
    <row r="36" spans="1:13" x14ac:dyDescent="0.25">
      <c r="A36" s="768">
        <v>2</v>
      </c>
      <c r="B36" s="779" t="s">
        <v>570</v>
      </c>
      <c r="C36" s="780"/>
      <c r="D36" s="781">
        <f>'[17]ANALISA GG PLAT'!D75</f>
        <v>28</v>
      </c>
      <c r="E36" s="782" t="s">
        <v>569</v>
      </c>
      <c r="F36" s="599">
        <f>'[17]HARGA SATUAN'!E42</f>
        <v>125000</v>
      </c>
      <c r="G36" s="783">
        <f>D36*F36</f>
        <v>3500000</v>
      </c>
      <c r="H36" s="591"/>
    </row>
    <row r="37" spans="1:13" x14ac:dyDescent="0.25">
      <c r="A37" s="749"/>
      <c r="B37" s="751"/>
      <c r="C37" s="751"/>
      <c r="D37" s="472"/>
      <c r="E37" s="785"/>
      <c r="F37" s="753" t="s">
        <v>571</v>
      </c>
      <c r="G37" s="754">
        <f>SUM(G35:G36)</f>
        <v>9500000</v>
      </c>
      <c r="H37" s="591"/>
    </row>
    <row r="38" spans="1:13" x14ac:dyDescent="0.25">
      <c r="A38" s="786"/>
      <c r="B38" s="787"/>
      <c r="C38" s="736"/>
      <c r="D38" s="788"/>
      <c r="E38" s="789"/>
      <c r="F38" s="790"/>
      <c r="G38" s="791"/>
    </row>
    <row r="39" spans="1:13" x14ac:dyDescent="0.25">
      <c r="A39" s="792" t="s">
        <v>572</v>
      </c>
      <c r="B39" s="793" t="s">
        <v>573</v>
      </c>
      <c r="C39" s="794"/>
      <c r="D39" s="795"/>
      <c r="E39" s="796"/>
      <c r="F39" s="797"/>
      <c r="G39" s="798">
        <f>SUM(G40:G41)</f>
        <v>3782400</v>
      </c>
    </row>
    <row r="40" spans="1:13" x14ac:dyDescent="0.25">
      <c r="A40" s="799">
        <v>2</v>
      </c>
      <c r="B40" s="800" t="s">
        <v>575</v>
      </c>
      <c r="C40" s="794"/>
      <c r="D40" s="801">
        <v>12</v>
      </c>
      <c r="E40" s="796" t="s">
        <v>574</v>
      </c>
      <c r="F40" s="802">
        <f>'[17]HARGA SATUAN'!N39</f>
        <v>315200</v>
      </c>
      <c r="G40" s="803">
        <f>D40*F40</f>
        <v>3782400</v>
      </c>
    </row>
    <row r="41" spans="1:13" x14ac:dyDescent="0.25">
      <c r="A41" s="799"/>
      <c r="B41" s="800"/>
      <c r="C41" s="794"/>
      <c r="D41" s="801"/>
      <c r="E41" s="796"/>
      <c r="F41" s="802"/>
      <c r="G41" s="804"/>
      <c r="I41" s="805"/>
      <c r="J41" s="622" t="s">
        <v>576</v>
      </c>
    </row>
    <row r="42" spans="1:13" x14ac:dyDescent="0.25">
      <c r="A42" s="792" t="s">
        <v>577</v>
      </c>
      <c r="B42" s="793" t="s">
        <v>578</v>
      </c>
      <c r="C42" s="794"/>
      <c r="D42" s="806"/>
      <c r="E42" s="796"/>
      <c r="F42" s="807"/>
      <c r="G42" s="808">
        <f>SUM(G43:G43)</f>
        <v>400000</v>
      </c>
      <c r="J42" s="809">
        <f>G37/G45*100</f>
        <v>20.846545288571047</v>
      </c>
    </row>
    <row r="43" spans="1:13" x14ac:dyDescent="0.25">
      <c r="A43" s="799">
        <v>1</v>
      </c>
      <c r="B43" s="800" t="s">
        <v>579</v>
      </c>
      <c r="C43" s="810"/>
      <c r="D43" s="801">
        <v>2</v>
      </c>
      <c r="E43" s="796" t="s">
        <v>580</v>
      </c>
      <c r="F43" s="807">
        <v>200000</v>
      </c>
      <c r="G43" s="803">
        <f>D43*F43</f>
        <v>400000</v>
      </c>
      <c r="H43" s="811"/>
      <c r="I43" s="811"/>
      <c r="J43" s="811"/>
    </row>
    <row r="44" spans="1:13" ht="14.4" thickBot="1" x14ac:dyDescent="0.3">
      <c r="A44" s="1574" t="s">
        <v>581</v>
      </c>
      <c r="B44" s="1575"/>
      <c r="C44" s="1575"/>
      <c r="D44" s="1575"/>
      <c r="E44" s="1575"/>
      <c r="F44" s="1576"/>
      <c r="G44" s="798">
        <f>G42+G39</f>
        <v>4182400</v>
      </c>
      <c r="H44" s="811"/>
      <c r="I44" s="811"/>
      <c r="J44" s="811"/>
    </row>
    <row r="45" spans="1:13" ht="16.2" thickBot="1" x14ac:dyDescent="0.3">
      <c r="A45" s="812"/>
      <c r="B45" s="813"/>
      <c r="C45" s="813"/>
      <c r="D45" s="814"/>
      <c r="E45" s="815"/>
      <c r="F45" s="816" t="s">
        <v>582</v>
      </c>
      <c r="G45" s="817">
        <f>G44+G37+G33+G24</f>
        <v>45571100</v>
      </c>
      <c r="H45" s="811"/>
      <c r="I45" s="811">
        <f>G45*0.13</f>
        <v>5924243</v>
      </c>
      <c r="J45" s="811"/>
      <c r="M45" s="619">
        <f>G45</f>
        <v>45571100</v>
      </c>
    </row>
    <row r="46" spans="1:13" x14ac:dyDescent="0.25">
      <c r="H46" s="811"/>
      <c r="I46" s="620">
        <f>G45-I45</f>
        <v>39646857</v>
      </c>
      <c r="J46" s="811"/>
      <c r="M46" s="819">
        <f>'[18]RAB-gedung+PAJAK'!$I$73</f>
        <v>186876700</v>
      </c>
    </row>
    <row r="47" spans="1:13" s="811" customFormat="1" x14ac:dyDescent="0.25">
      <c r="A47" s="820"/>
      <c r="B47" s="820"/>
      <c r="C47" s="821" t="s">
        <v>583</v>
      </c>
      <c r="D47" s="820"/>
      <c r="E47" s="820"/>
      <c r="F47" s="821" t="s">
        <v>584</v>
      </c>
      <c r="H47" s="822"/>
      <c r="I47" s="822"/>
      <c r="J47" s="822"/>
      <c r="M47" s="823">
        <v>176990800</v>
      </c>
    </row>
    <row r="48" spans="1:13" s="811" customFormat="1" x14ac:dyDescent="0.25">
      <c r="A48" s="820"/>
      <c r="B48" s="820"/>
      <c r="C48" s="821" t="s">
        <v>665</v>
      </c>
      <c r="D48" s="820"/>
      <c r="E48" s="820"/>
      <c r="F48" s="821" t="s">
        <v>585</v>
      </c>
      <c r="H48" s="622"/>
      <c r="I48" s="622"/>
      <c r="J48" s="622"/>
      <c r="M48" s="824">
        <f>'[19]RAB-gedung+PAJAK'!$I$66</f>
        <v>22445300</v>
      </c>
    </row>
    <row r="49" spans="1:13" s="811" customFormat="1" x14ac:dyDescent="0.25">
      <c r="A49" s="820"/>
      <c r="B49" s="820"/>
      <c r="C49" s="821"/>
      <c r="D49" s="820"/>
      <c r="E49" s="820"/>
      <c r="F49" s="821"/>
      <c r="H49" s="622"/>
      <c r="I49" s="622"/>
      <c r="J49" s="622"/>
      <c r="M49" s="825">
        <v>88208700</v>
      </c>
    </row>
    <row r="50" spans="1:13" s="811" customFormat="1" x14ac:dyDescent="0.25">
      <c r="A50" s="820"/>
      <c r="B50" s="820"/>
      <c r="C50" s="821"/>
      <c r="D50" s="820"/>
      <c r="E50" s="820"/>
      <c r="F50" s="821"/>
      <c r="H50" s="622"/>
      <c r="I50" s="622"/>
      <c r="J50" s="622"/>
      <c r="M50" s="825">
        <v>50885000</v>
      </c>
    </row>
    <row r="51" spans="1:13" s="811" customFormat="1" x14ac:dyDescent="0.25">
      <c r="A51" s="820"/>
      <c r="B51" s="820"/>
      <c r="C51" s="821"/>
      <c r="D51" s="820"/>
      <c r="E51" s="820"/>
      <c r="F51" s="821"/>
      <c r="H51" s="622"/>
      <c r="I51" s="622"/>
      <c r="J51" s="622"/>
    </row>
    <row r="52" spans="1:13" s="811" customFormat="1" x14ac:dyDescent="0.25">
      <c r="A52" s="820"/>
      <c r="B52" s="820"/>
      <c r="C52" s="826"/>
      <c r="D52" s="820"/>
      <c r="E52" s="820"/>
      <c r="F52" s="821"/>
      <c r="H52" s="622"/>
      <c r="I52" s="622"/>
      <c r="J52" s="622"/>
      <c r="M52" s="719">
        <f>SUM(M45:M51)</f>
        <v>570977600</v>
      </c>
    </row>
    <row r="53" spans="1:13" s="822" customFormat="1" x14ac:dyDescent="0.25">
      <c r="A53" s="827"/>
      <c r="B53" s="827"/>
      <c r="C53" s="826"/>
      <c r="D53" s="827"/>
      <c r="E53" s="827"/>
      <c r="F53" s="826"/>
      <c r="H53" s="622"/>
      <c r="I53" s="622"/>
      <c r="J53" s="622"/>
    </row>
  </sheetData>
  <mergeCells count="7">
    <mergeCell ref="A44:F44"/>
    <mergeCell ref="A2:G2"/>
    <mergeCell ref="A9:C10"/>
    <mergeCell ref="D9:D10"/>
    <mergeCell ref="E9:E10"/>
    <mergeCell ref="F9:F10"/>
    <mergeCell ref="G9:G10"/>
  </mergeCells>
  <conditionalFormatting sqref="H34:H37">
    <cfRule type="cellIs" dxfId="1" priority="1" operator="greaterThan">
      <formula>1</formula>
    </cfRule>
    <cfRule type="cellIs" dxfId="0" priority="2" operator="greaterThan">
      <formula>1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10000" scale="85" orientation="portrait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Q48"/>
  <sheetViews>
    <sheetView zoomScale="120" zoomScaleNormal="120" workbookViewId="0">
      <selection activeCell="J17" sqref="J17"/>
    </sheetView>
  </sheetViews>
  <sheetFormatPr defaultColWidth="10" defaultRowHeight="13.2" x14ac:dyDescent="0.25"/>
  <cols>
    <col min="1" max="1" width="10.109375" style="1063" bestFit="1" customWidth="1"/>
    <col min="2" max="3" width="10" style="1063"/>
    <col min="4" max="4" width="10.109375" style="1063" bestFit="1" customWidth="1"/>
    <col min="5" max="6" width="10" style="1063"/>
    <col min="7" max="7" width="11.44140625" style="1063" bestFit="1" customWidth="1"/>
    <col min="8" max="8" width="10.109375" style="1063" bestFit="1" customWidth="1"/>
    <col min="9" max="9" width="12.33203125" style="1063" bestFit="1" customWidth="1"/>
    <col min="10" max="11" width="10.109375" style="1063" bestFit="1" customWidth="1"/>
    <col min="12" max="12" width="14.33203125" style="1063" customWidth="1"/>
    <col min="13" max="13" width="19" style="1063" customWidth="1"/>
    <col min="14" max="14" width="12.33203125" style="1063" bestFit="1" customWidth="1"/>
    <col min="15" max="15" width="13" style="1063" customWidth="1"/>
    <col min="16" max="16" width="10" style="1063"/>
    <col min="17" max="17" width="13.77734375" style="1063" bestFit="1" customWidth="1"/>
    <col min="18" max="16384" width="10" style="1063"/>
  </cols>
  <sheetData>
    <row r="1" spans="1:17" ht="15.6" x14ac:dyDescent="0.3">
      <c r="A1" s="1592" t="s">
        <v>534</v>
      </c>
      <c r="B1" s="1592"/>
      <c r="C1" s="1592"/>
      <c r="D1" s="1592"/>
      <c r="E1" s="1592"/>
      <c r="F1" s="1592"/>
      <c r="G1" s="1592"/>
      <c r="H1" s="1592"/>
      <c r="I1" s="1592"/>
      <c r="J1" s="1592"/>
      <c r="K1" s="1592"/>
      <c r="L1" s="1592"/>
      <c r="M1" s="1592"/>
      <c r="N1" s="1032"/>
      <c r="O1" s="244" t="s">
        <v>586</v>
      </c>
      <c r="P1" s="1032"/>
      <c r="Q1" s="1032"/>
    </row>
    <row r="2" spans="1:17" x14ac:dyDescent="0.25">
      <c r="A2" s="828"/>
      <c r="B2" s="828"/>
      <c r="C2" s="828"/>
      <c r="D2" s="1064"/>
      <c r="E2" s="828"/>
      <c r="F2" s="828"/>
      <c r="G2" s="828"/>
      <c r="H2" s="828"/>
      <c r="I2" s="828"/>
      <c r="J2" s="828"/>
      <c r="K2" s="828"/>
      <c r="L2" s="828"/>
      <c r="M2" s="828"/>
      <c r="N2" s="1032"/>
      <c r="O2" s="244" t="s">
        <v>587</v>
      </c>
      <c r="P2" s="1032"/>
      <c r="Q2" s="1065">
        <f>M37</f>
        <v>89040200</v>
      </c>
    </row>
    <row r="3" spans="1:17" x14ac:dyDescent="0.25">
      <c r="A3" s="1066" t="s">
        <v>535</v>
      </c>
      <c r="B3" s="828"/>
      <c r="C3" s="828" t="s">
        <v>1005</v>
      </c>
      <c r="D3" s="1064"/>
      <c r="E3" s="828"/>
      <c r="F3" s="828"/>
      <c r="H3" s="1067"/>
      <c r="I3" s="1067"/>
      <c r="J3" s="1067"/>
      <c r="K3" s="1067"/>
      <c r="L3" s="1067" t="s">
        <v>803</v>
      </c>
      <c r="M3" s="828"/>
      <c r="N3" s="828"/>
      <c r="O3" s="1068"/>
      <c r="P3" s="1032"/>
      <c r="Q3" s="1032"/>
    </row>
    <row r="4" spans="1:17" x14ac:dyDescent="0.25">
      <c r="A4" s="1066" t="s">
        <v>1006</v>
      </c>
      <c r="B4" s="828"/>
      <c r="C4" s="828" t="s">
        <v>1007</v>
      </c>
      <c r="D4" s="1064"/>
      <c r="E4" s="828"/>
      <c r="F4" s="828"/>
      <c r="H4" s="1067"/>
      <c r="I4" s="1067"/>
      <c r="J4" s="1067"/>
      <c r="K4" s="1067"/>
      <c r="L4" s="1067" t="s">
        <v>804</v>
      </c>
      <c r="M4" s="828" t="s">
        <v>1008</v>
      </c>
      <c r="N4" s="828"/>
      <c r="O4" s="1068"/>
      <c r="P4" s="1032"/>
      <c r="Q4" s="1032"/>
    </row>
    <row r="5" spans="1:17" x14ac:dyDescent="0.25">
      <c r="A5" s="1066" t="s">
        <v>538</v>
      </c>
      <c r="B5" s="828"/>
      <c r="C5" s="828" t="s">
        <v>1009</v>
      </c>
      <c r="D5" s="1064"/>
      <c r="E5" s="828"/>
      <c r="F5" s="828"/>
      <c r="H5" s="1067"/>
      <c r="I5" s="1067"/>
      <c r="J5" s="1067"/>
      <c r="K5" s="1067"/>
      <c r="L5" s="1067" t="s">
        <v>28</v>
      </c>
      <c r="M5" s="828" t="s">
        <v>1010</v>
      </c>
      <c r="N5" s="828"/>
      <c r="O5" s="1068"/>
      <c r="P5" s="1032"/>
      <c r="Q5" s="1032"/>
    </row>
    <row r="6" spans="1:17" x14ac:dyDescent="0.25">
      <c r="A6" s="1066" t="s">
        <v>43</v>
      </c>
      <c r="B6" s="828"/>
      <c r="C6" s="828" t="s">
        <v>1011</v>
      </c>
      <c r="D6" s="1064"/>
      <c r="E6" s="828"/>
      <c r="F6" s="828"/>
      <c r="H6" s="1067"/>
      <c r="I6" s="1067"/>
      <c r="J6" s="1067"/>
      <c r="K6" s="1067"/>
      <c r="L6" s="1067" t="s">
        <v>539</v>
      </c>
      <c r="M6" s="828" t="s">
        <v>860</v>
      </c>
      <c r="N6" s="828"/>
      <c r="O6" s="1068"/>
      <c r="P6" s="1032"/>
      <c r="Q6" s="1032"/>
    </row>
    <row r="7" spans="1:17" x14ac:dyDescent="0.25">
      <c r="A7" s="1066" t="s">
        <v>29</v>
      </c>
      <c r="B7" s="828"/>
      <c r="C7" s="828" t="s">
        <v>1012</v>
      </c>
      <c r="D7" s="1064"/>
      <c r="E7" s="828"/>
      <c r="F7" s="828"/>
      <c r="G7" s="828"/>
      <c r="H7" s="828"/>
      <c r="I7" s="828"/>
      <c r="J7" s="828"/>
      <c r="K7" s="828"/>
      <c r="L7" s="828"/>
      <c r="M7" s="828"/>
      <c r="N7" s="1032"/>
      <c r="O7" s="1068"/>
      <c r="P7" s="1032"/>
      <c r="Q7" s="1032"/>
    </row>
    <row r="8" spans="1:17" x14ac:dyDescent="0.25">
      <c r="A8" s="1594" t="s">
        <v>540</v>
      </c>
      <c r="B8" s="1594"/>
      <c r="C8" s="1594"/>
      <c r="D8" s="325" t="s">
        <v>541</v>
      </c>
      <c r="E8" s="1586" t="s">
        <v>542</v>
      </c>
      <c r="F8" s="1586" t="s">
        <v>1013</v>
      </c>
      <c r="G8" s="1595" t="s">
        <v>1014</v>
      </c>
      <c r="H8" s="1586" t="s">
        <v>643</v>
      </c>
      <c r="I8" s="1586" t="s">
        <v>644</v>
      </c>
      <c r="J8" s="1586" t="s">
        <v>645</v>
      </c>
      <c r="K8" s="1586" t="s">
        <v>646</v>
      </c>
      <c r="L8" s="1586" t="s">
        <v>647</v>
      </c>
      <c r="M8" s="1593" t="s">
        <v>1015</v>
      </c>
      <c r="N8" s="1069"/>
      <c r="O8" s="1585" t="s">
        <v>1016</v>
      </c>
      <c r="P8" s="1032"/>
      <c r="Q8" s="1032"/>
    </row>
    <row r="9" spans="1:17" x14ac:dyDescent="0.25">
      <c r="A9" s="1594"/>
      <c r="B9" s="1594"/>
      <c r="C9" s="1594"/>
      <c r="D9" s="326" t="s">
        <v>600</v>
      </c>
      <c r="E9" s="1586"/>
      <c r="F9" s="1586"/>
      <c r="G9" s="1595"/>
      <c r="H9" s="1586"/>
      <c r="I9" s="1586"/>
      <c r="J9" s="1586"/>
      <c r="K9" s="1586"/>
      <c r="L9" s="1586"/>
      <c r="M9" s="1593"/>
      <c r="N9" s="1069"/>
      <c r="O9" s="1585"/>
      <c r="P9" s="1032"/>
      <c r="Q9" s="1032"/>
    </row>
    <row r="10" spans="1:17" x14ac:dyDescent="0.25">
      <c r="A10" s="327" t="s">
        <v>545</v>
      </c>
      <c r="B10" s="1070"/>
      <c r="C10" s="1071"/>
      <c r="D10" s="1072"/>
      <c r="E10" s="1073"/>
      <c r="F10" s="1073"/>
      <c r="G10" s="1074"/>
      <c r="H10" s="1075"/>
      <c r="I10" s="1076"/>
      <c r="J10" s="1076"/>
      <c r="K10" s="1076"/>
      <c r="L10" s="1076"/>
      <c r="M10" s="1077"/>
      <c r="N10" s="1032"/>
      <c r="O10" s="1078"/>
      <c r="P10" s="1032"/>
      <c r="Q10" s="1032"/>
    </row>
    <row r="11" spans="1:17" x14ac:dyDescent="0.25">
      <c r="A11" s="328" t="s">
        <v>815</v>
      </c>
      <c r="B11" s="1079"/>
      <c r="C11" s="1080"/>
      <c r="D11" s="1081"/>
      <c r="E11" s="1081"/>
      <c r="F11" s="1081"/>
      <c r="G11" s="1081"/>
      <c r="H11" s="1082"/>
      <c r="I11" s="1083"/>
      <c r="J11" s="1082"/>
      <c r="K11" s="1082"/>
      <c r="L11" s="1082"/>
      <c r="M11" s="1084"/>
      <c r="N11" s="1032"/>
      <c r="O11" s="1074"/>
      <c r="P11" s="1032"/>
      <c r="Q11" s="1032"/>
    </row>
    <row r="12" spans="1:17" ht="13.8" x14ac:dyDescent="0.25">
      <c r="A12" s="1085">
        <v>1</v>
      </c>
      <c r="B12" s="1086" t="s">
        <v>1017</v>
      </c>
      <c r="C12" s="1087"/>
      <c r="D12" s="1088">
        <v>68</v>
      </c>
      <c r="E12" s="1089" t="s">
        <v>548</v>
      </c>
      <c r="F12" s="1089" t="s">
        <v>819</v>
      </c>
      <c r="G12" s="1090">
        <v>1102500</v>
      </c>
      <c r="H12" s="1091">
        <v>22050</v>
      </c>
      <c r="I12" s="1091">
        <v>1124550</v>
      </c>
      <c r="J12" s="1152">
        <v>1</v>
      </c>
      <c r="K12" s="1152">
        <v>1</v>
      </c>
      <c r="L12" s="1153">
        <v>1255842.6395939088</v>
      </c>
      <c r="M12" s="1092">
        <v>74970000</v>
      </c>
      <c r="N12" s="1068"/>
      <c r="O12" s="1093">
        <v>74970000</v>
      </c>
      <c r="P12" s="1065"/>
      <c r="Q12" s="1032"/>
    </row>
    <row r="13" spans="1:17" ht="13.8" x14ac:dyDescent="0.25">
      <c r="A13" s="1085">
        <v>2</v>
      </c>
      <c r="B13" s="1094" t="s">
        <v>1018</v>
      </c>
      <c r="C13" s="1079"/>
      <c r="D13" s="1088">
        <v>27</v>
      </c>
      <c r="E13" s="1089" t="s">
        <v>548</v>
      </c>
      <c r="F13" s="1089" t="s">
        <v>819</v>
      </c>
      <c r="G13" s="1090">
        <v>152300</v>
      </c>
      <c r="H13" s="1091">
        <v>3046</v>
      </c>
      <c r="I13" s="1091">
        <v>155346</v>
      </c>
      <c r="J13" s="1152">
        <v>1</v>
      </c>
      <c r="K13" s="1152">
        <v>1</v>
      </c>
      <c r="L13" s="1153">
        <v>173482.84263959393</v>
      </c>
      <c r="M13" s="1092">
        <v>4112100</v>
      </c>
      <c r="N13" s="1068"/>
      <c r="O13" s="1093">
        <v>4112100</v>
      </c>
      <c r="P13" s="1032"/>
      <c r="Q13" s="1032"/>
    </row>
    <row r="14" spans="1:17" ht="13.8" x14ac:dyDescent="0.25">
      <c r="A14" s="1085">
        <v>3</v>
      </c>
      <c r="B14" s="1154" t="s">
        <v>1039</v>
      </c>
      <c r="C14" s="1087"/>
      <c r="D14" s="1088">
        <v>58</v>
      </c>
      <c r="E14" s="1089" t="s">
        <v>1019</v>
      </c>
      <c r="F14" s="1089" t="s">
        <v>819</v>
      </c>
      <c r="G14" s="1090">
        <v>16900</v>
      </c>
      <c r="H14" s="1091">
        <v>338</v>
      </c>
      <c r="I14" s="1091">
        <v>17238</v>
      </c>
      <c r="J14" s="1152">
        <v>1</v>
      </c>
      <c r="K14" s="1152">
        <v>1</v>
      </c>
      <c r="L14" s="1153">
        <v>19250.558375634519</v>
      </c>
      <c r="M14" s="1092">
        <v>980200</v>
      </c>
      <c r="N14" s="1068"/>
      <c r="O14" s="1093">
        <v>980200</v>
      </c>
      <c r="P14" s="1032"/>
      <c r="Q14" s="1032"/>
    </row>
    <row r="15" spans="1:17" ht="13.8" x14ac:dyDescent="0.25">
      <c r="A15" s="1085">
        <v>5</v>
      </c>
      <c r="B15" s="1086" t="s">
        <v>1040</v>
      </c>
      <c r="C15" s="1087"/>
      <c r="D15" s="1088">
        <v>9</v>
      </c>
      <c r="E15" s="1089" t="s">
        <v>314</v>
      </c>
      <c r="F15" s="1089" t="s">
        <v>819</v>
      </c>
      <c r="G15" s="1090">
        <v>22500</v>
      </c>
      <c r="H15" s="1091">
        <v>450</v>
      </c>
      <c r="I15" s="1091">
        <v>22950</v>
      </c>
      <c r="J15" s="1152">
        <v>1</v>
      </c>
      <c r="K15" s="1152">
        <v>1</v>
      </c>
      <c r="L15" s="1153">
        <v>25629.441624365485</v>
      </c>
      <c r="M15" s="1092">
        <v>202500</v>
      </c>
      <c r="N15" s="1068"/>
      <c r="O15" s="1093">
        <v>202500</v>
      </c>
      <c r="P15" s="1032"/>
      <c r="Q15" s="1032"/>
    </row>
    <row r="16" spans="1:17" ht="13.8" x14ac:dyDescent="0.25">
      <c r="A16" s="1085">
        <v>6</v>
      </c>
      <c r="B16" s="1094" t="s">
        <v>1020</v>
      </c>
      <c r="C16" s="1079"/>
      <c r="D16" s="1095">
        <v>5</v>
      </c>
      <c r="E16" s="1089" t="s">
        <v>314</v>
      </c>
      <c r="F16" s="1089" t="s">
        <v>819</v>
      </c>
      <c r="G16" s="1090">
        <v>22500</v>
      </c>
      <c r="H16" s="1091">
        <v>450</v>
      </c>
      <c r="I16" s="1091">
        <v>22950</v>
      </c>
      <c r="J16" s="1152">
        <v>1</v>
      </c>
      <c r="K16" s="1152">
        <v>1</v>
      </c>
      <c r="L16" s="1153">
        <v>25629.441624365485</v>
      </c>
      <c r="M16" s="1092">
        <v>112500</v>
      </c>
      <c r="N16" s="1068"/>
      <c r="O16" s="1093">
        <v>112500</v>
      </c>
      <c r="P16" s="1032"/>
      <c r="Q16" s="1032"/>
    </row>
    <row r="17" spans="1:17" ht="13.8" x14ac:dyDescent="0.25">
      <c r="A17" s="1085">
        <v>7</v>
      </c>
      <c r="B17" s="1094" t="s">
        <v>1021</v>
      </c>
      <c r="C17" s="1079"/>
      <c r="D17" s="1096">
        <v>4</v>
      </c>
      <c r="E17" s="1089" t="s">
        <v>1022</v>
      </c>
      <c r="F17" s="1089" t="s">
        <v>819</v>
      </c>
      <c r="G17" s="1090">
        <v>64200</v>
      </c>
      <c r="H17" s="1091">
        <v>1284</v>
      </c>
      <c r="I17" s="1091">
        <v>65484</v>
      </c>
      <c r="J17" s="1152">
        <v>1</v>
      </c>
      <c r="K17" s="1152">
        <v>1</v>
      </c>
      <c r="L17" s="1153">
        <v>73129.340101522845</v>
      </c>
      <c r="M17" s="1092">
        <v>256800</v>
      </c>
      <c r="N17" s="1068"/>
      <c r="O17" s="1093">
        <v>256800</v>
      </c>
      <c r="P17" s="1032"/>
      <c r="Q17" s="1032"/>
    </row>
    <row r="18" spans="1:17" ht="13.8" x14ac:dyDescent="0.25">
      <c r="A18" s="1085">
        <v>8</v>
      </c>
      <c r="B18" s="1094" t="s">
        <v>1023</v>
      </c>
      <c r="C18" s="1079"/>
      <c r="D18" s="1095">
        <v>3</v>
      </c>
      <c r="E18" s="1089" t="s">
        <v>824</v>
      </c>
      <c r="F18" s="1089" t="s">
        <v>819</v>
      </c>
      <c r="G18" s="1090">
        <v>140700</v>
      </c>
      <c r="H18" s="1091">
        <v>2814</v>
      </c>
      <c r="I18" s="1091">
        <v>143514</v>
      </c>
      <c r="J18" s="1152">
        <v>1</v>
      </c>
      <c r="K18" s="1152">
        <v>1</v>
      </c>
      <c r="L18" s="1153">
        <v>160269.44162436549</v>
      </c>
      <c r="M18" s="1092">
        <v>422100</v>
      </c>
      <c r="N18" s="1068"/>
      <c r="O18" s="1093">
        <v>422100</v>
      </c>
      <c r="P18" s="1032"/>
      <c r="Q18" s="1032"/>
    </row>
    <row r="19" spans="1:17" ht="13.8" x14ac:dyDescent="0.25">
      <c r="A19" s="1085">
        <v>9</v>
      </c>
      <c r="B19" s="1094" t="s">
        <v>565</v>
      </c>
      <c r="C19" s="1079"/>
      <c r="D19" s="1096">
        <v>2</v>
      </c>
      <c r="E19" s="1089" t="s">
        <v>824</v>
      </c>
      <c r="F19" s="1089" t="s">
        <v>819</v>
      </c>
      <c r="G19" s="1090">
        <v>11300</v>
      </c>
      <c r="H19" s="1091">
        <v>226</v>
      </c>
      <c r="I19" s="1091">
        <v>11526</v>
      </c>
      <c r="J19" s="1152">
        <v>1</v>
      </c>
      <c r="K19" s="1152">
        <v>1</v>
      </c>
      <c r="L19" s="1153">
        <v>12871.675126903554</v>
      </c>
      <c r="M19" s="1092">
        <v>22600</v>
      </c>
      <c r="N19" s="1068"/>
      <c r="O19" s="1093">
        <v>22600</v>
      </c>
      <c r="P19" s="1032"/>
      <c r="Q19" s="1032"/>
    </row>
    <row r="20" spans="1:17" ht="13.8" x14ac:dyDescent="0.25">
      <c r="A20" s="1085">
        <v>10</v>
      </c>
      <c r="B20" s="1094" t="s">
        <v>1024</v>
      </c>
      <c r="C20" s="1079"/>
      <c r="D20" s="1095">
        <v>4</v>
      </c>
      <c r="E20" s="1089" t="s">
        <v>318</v>
      </c>
      <c r="F20" s="1089" t="s">
        <v>819</v>
      </c>
      <c r="G20" s="1090">
        <v>45000</v>
      </c>
      <c r="H20" s="1091">
        <v>900</v>
      </c>
      <c r="I20" s="1091">
        <v>45900</v>
      </c>
      <c r="J20" s="1152">
        <v>1</v>
      </c>
      <c r="K20" s="1152">
        <v>1</v>
      </c>
      <c r="L20" s="1153">
        <v>51258.88324873097</v>
      </c>
      <c r="M20" s="1092">
        <v>180000</v>
      </c>
      <c r="N20" s="1068"/>
      <c r="O20" s="1093">
        <v>180000</v>
      </c>
      <c r="P20" s="1032"/>
      <c r="Q20" s="1032"/>
    </row>
    <row r="21" spans="1:17" ht="13.8" x14ac:dyDescent="0.25">
      <c r="A21" s="1085">
        <v>11</v>
      </c>
      <c r="B21" s="1094" t="s">
        <v>1025</v>
      </c>
      <c r="C21" s="1079"/>
      <c r="D21" s="1095">
        <v>2</v>
      </c>
      <c r="E21" s="1089" t="s">
        <v>318</v>
      </c>
      <c r="F21" s="1089" t="s">
        <v>819</v>
      </c>
      <c r="G21" s="1090">
        <v>168800</v>
      </c>
      <c r="H21" s="1091">
        <v>3376</v>
      </c>
      <c r="I21" s="1091">
        <v>172176</v>
      </c>
      <c r="J21" s="1152">
        <v>1</v>
      </c>
      <c r="K21" s="1152">
        <v>1</v>
      </c>
      <c r="L21" s="1153">
        <v>192277.76649746194</v>
      </c>
      <c r="M21" s="1092">
        <v>337600</v>
      </c>
      <c r="N21" s="1068"/>
      <c r="O21" s="1093">
        <v>337600</v>
      </c>
      <c r="P21" s="1032"/>
      <c r="Q21" s="1032"/>
    </row>
    <row r="22" spans="1:17" x14ac:dyDescent="0.25">
      <c r="A22" s="1085"/>
      <c r="B22" s="1086"/>
      <c r="C22" s="1087"/>
      <c r="D22" s="1097"/>
      <c r="E22" s="1089"/>
      <c r="F22" s="1098"/>
      <c r="G22" s="1093"/>
      <c r="H22" s="1099"/>
      <c r="I22" s="1099"/>
      <c r="J22" s="1099"/>
      <c r="K22" s="1099"/>
      <c r="L22" s="1099"/>
      <c r="M22" s="1092">
        <v>81596400</v>
      </c>
      <c r="N22" s="1032"/>
      <c r="O22" s="1093"/>
      <c r="P22" s="1032"/>
      <c r="Q22" s="1032"/>
    </row>
    <row r="23" spans="1:17" x14ac:dyDescent="0.25">
      <c r="A23" s="328" t="s">
        <v>820</v>
      </c>
      <c r="B23" s="1094"/>
      <c r="C23" s="1080"/>
      <c r="D23" s="1100"/>
      <c r="E23" s="1101"/>
      <c r="F23" s="1102"/>
      <c r="G23" s="1082"/>
      <c r="H23" s="1103"/>
      <c r="I23" s="1103"/>
      <c r="J23" s="1103"/>
      <c r="K23" s="1103"/>
      <c r="L23" s="1103"/>
      <c r="M23" s="1084"/>
      <c r="N23" s="1032"/>
      <c r="O23" s="1093"/>
      <c r="P23" s="1032"/>
      <c r="Q23" s="1032"/>
    </row>
    <row r="24" spans="1:17" x14ac:dyDescent="0.25">
      <c r="A24" s="1085">
        <v>6</v>
      </c>
      <c r="B24" s="1086" t="s">
        <v>821</v>
      </c>
      <c r="C24" s="1104"/>
      <c r="D24" s="1105">
        <v>1</v>
      </c>
      <c r="E24" s="1089" t="s">
        <v>685</v>
      </c>
      <c r="F24" s="1089" t="s">
        <v>817</v>
      </c>
      <c r="G24" s="1106">
        <v>281300</v>
      </c>
      <c r="H24" s="1082"/>
      <c r="I24" s="1082"/>
      <c r="J24" s="1082"/>
      <c r="K24" s="1082"/>
      <c r="L24" s="1082"/>
      <c r="M24" s="1092">
        <v>281300</v>
      </c>
      <c r="N24" s="1032"/>
      <c r="O24" s="1093">
        <v>281300</v>
      </c>
      <c r="P24" s="1032"/>
      <c r="Q24" s="1032"/>
    </row>
    <row r="25" spans="1:17" x14ac:dyDescent="0.25">
      <c r="A25" s="1085">
        <v>7</v>
      </c>
      <c r="B25" s="1107" t="s">
        <v>1026</v>
      </c>
      <c r="C25" s="1108"/>
      <c r="D25" s="1109">
        <v>1</v>
      </c>
      <c r="E25" s="1110" t="s">
        <v>685</v>
      </c>
      <c r="F25" s="1089" t="s">
        <v>817</v>
      </c>
      <c r="G25" s="1106">
        <v>337500</v>
      </c>
      <c r="H25" s="1111"/>
      <c r="I25" s="1111"/>
      <c r="J25" s="1111"/>
      <c r="K25" s="1111"/>
      <c r="L25" s="1111"/>
      <c r="M25" s="1092">
        <v>337500</v>
      </c>
      <c r="N25" s="1032"/>
      <c r="O25" s="1093">
        <v>337500</v>
      </c>
      <c r="P25" s="1032"/>
      <c r="Q25" s="1032"/>
    </row>
    <row r="26" spans="1:17" x14ac:dyDescent="0.25">
      <c r="A26" s="1587" t="s">
        <v>608</v>
      </c>
      <c r="B26" s="1587"/>
      <c r="C26" s="1587"/>
      <c r="D26" s="1587"/>
      <c r="E26" s="1587"/>
      <c r="F26" s="1587"/>
      <c r="G26" s="1587"/>
      <c r="H26" s="1112"/>
      <c r="I26" s="1112"/>
      <c r="J26" s="1112"/>
      <c r="K26" s="1112"/>
      <c r="L26" s="1112"/>
      <c r="M26" s="1113">
        <v>618800</v>
      </c>
      <c r="N26" s="1032"/>
      <c r="O26" s="1114">
        <v>82215200</v>
      </c>
      <c r="P26" s="1032"/>
      <c r="Q26" s="1032"/>
    </row>
    <row r="27" spans="1:17" x14ac:dyDescent="0.25">
      <c r="A27" s="1590" t="s">
        <v>1027</v>
      </c>
      <c r="B27" s="1590"/>
      <c r="C27" s="1590"/>
      <c r="D27" s="1088"/>
      <c r="E27" s="1074"/>
      <c r="F27" s="1115"/>
      <c r="G27" s="1116"/>
      <c r="H27" s="1117"/>
      <c r="I27" s="1117"/>
      <c r="J27" s="1117"/>
      <c r="K27" s="1117"/>
      <c r="L27" s="1117"/>
      <c r="M27" s="1118"/>
      <c r="N27" s="1032"/>
      <c r="O27" s="1119"/>
      <c r="P27" s="1032"/>
      <c r="Q27" s="1032"/>
    </row>
    <row r="28" spans="1:17" x14ac:dyDescent="0.25">
      <c r="A28" s="1085">
        <v>1</v>
      </c>
      <c r="B28" s="1584" t="s">
        <v>568</v>
      </c>
      <c r="C28" s="1584"/>
      <c r="D28" s="1120">
        <v>50</v>
      </c>
      <c r="E28" s="1089" t="s">
        <v>319</v>
      </c>
      <c r="F28" s="1098" t="s">
        <v>839</v>
      </c>
      <c r="G28" s="1121">
        <v>100000</v>
      </c>
      <c r="H28" s="1122"/>
      <c r="I28" s="1122"/>
      <c r="J28" s="1122"/>
      <c r="K28" s="1122"/>
      <c r="L28" s="1122"/>
      <c r="M28" s="1092">
        <v>5000000</v>
      </c>
      <c r="N28" s="1032"/>
      <c r="O28" s="1093">
        <v>5000000</v>
      </c>
      <c r="P28" s="1032"/>
      <c r="Q28" s="1032"/>
    </row>
    <row r="29" spans="1:17" x14ac:dyDescent="0.25">
      <c r="A29" s="1085">
        <v>2</v>
      </c>
      <c r="B29" s="1584" t="s">
        <v>570</v>
      </c>
      <c r="C29" s="1584"/>
      <c r="D29" s="1120">
        <v>13</v>
      </c>
      <c r="E29" s="1089" t="s">
        <v>319</v>
      </c>
      <c r="F29" s="1098" t="s">
        <v>839</v>
      </c>
      <c r="G29" s="1121">
        <v>125000</v>
      </c>
      <c r="H29" s="1123"/>
      <c r="I29" s="1123"/>
      <c r="J29" s="1123"/>
      <c r="K29" s="1123"/>
      <c r="L29" s="1123"/>
      <c r="M29" s="1092">
        <v>1625000</v>
      </c>
      <c r="N29" s="1032"/>
      <c r="O29" s="1093">
        <v>1625000</v>
      </c>
      <c r="P29" s="1032"/>
      <c r="Q29" s="1032"/>
    </row>
    <row r="30" spans="1:17" x14ac:dyDescent="0.25">
      <c r="A30" s="1124"/>
      <c r="B30" s="1125"/>
      <c r="C30" s="1125"/>
      <c r="D30" s="329">
        <v>63</v>
      </c>
      <c r="E30" s="1126" t="s">
        <v>571</v>
      </c>
      <c r="F30" s="1126"/>
      <c r="G30" s="1117"/>
      <c r="H30" s="1127"/>
      <c r="I30" s="1127"/>
      <c r="J30" s="1127"/>
      <c r="K30" s="1127"/>
      <c r="L30" s="1127"/>
      <c r="M30" s="1128">
        <v>6625000</v>
      </c>
      <c r="N30" s="1129">
        <v>7.4404594778538238</v>
      </c>
      <c r="O30" s="1130">
        <v>6625000</v>
      </c>
      <c r="P30" s="1032"/>
      <c r="Q30" s="1032"/>
    </row>
    <row r="31" spans="1:17" x14ac:dyDescent="0.25">
      <c r="A31" s="330" t="s">
        <v>577</v>
      </c>
      <c r="B31" s="331" t="s">
        <v>1028</v>
      </c>
      <c r="C31" s="1070"/>
      <c r="D31" s="1088"/>
      <c r="E31" s="1074"/>
      <c r="F31" s="1074"/>
      <c r="G31" s="1122"/>
      <c r="H31" s="1131"/>
      <c r="I31" s="1131"/>
      <c r="J31" s="1131"/>
      <c r="K31" s="1131"/>
      <c r="L31" s="1131"/>
      <c r="M31" s="332">
        <v>200000</v>
      </c>
      <c r="N31" s="1032"/>
      <c r="O31" s="1132"/>
      <c r="P31" s="1032"/>
      <c r="Q31" s="1032"/>
    </row>
    <row r="32" spans="1:17" x14ac:dyDescent="0.25">
      <c r="A32" s="1085">
        <v>1</v>
      </c>
      <c r="B32" s="1086" t="s">
        <v>579</v>
      </c>
      <c r="C32" s="1104"/>
      <c r="D32" s="1105">
        <v>2</v>
      </c>
      <c r="E32" s="1089" t="s">
        <v>843</v>
      </c>
      <c r="F32" s="1089" t="s">
        <v>844</v>
      </c>
      <c r="G32" s="1133">
        <v>100000</v>
      </c>
      <c r="H32" s="1067"/>
      <c r="I32" s="1067"/>
      <c r="J32" s="1067"/>
      <c r="K32" s="1067"/>
      <c r="L32" s="1067"/>
      <c r="M32" s="333">
        <v>200000</v>
      </c>
      <c r="N32" s="1032"/>
      <c r="O32" s="1134">
        <v>200000</v>
      </c>
      <c r="P32" s="1032"/>
      <c r="Q32" s="1032"/>
    </row>
    <row r="33" spans="1:17" x14ac:dyDescent="0.25">
      <c r="A33" s="1135"/>
      <c r="B33" s="1136"/>
      <c r="C33" s="1136"/>
      <c r="D33" s="334">
        <v>23</v>
      </c>
      <c r="E33" s="1136"/>
      <c r="F33" s="1136"/>
      <c r="G33" s="1127" t="s">
        <v>581</v>
      </c>
      <c r="H33" s="1137"/>
      <c r="I33" s="1137"/>
      <c r="J33" s="1137"/>
      <c r="K33" s="1137"/>
      <c r="L33" s="1137"/>
      <c r="M33" s="335">
        <v>200000</v>
      </c>
      <c r="N33" s="1065"/>
      <c r="O33" s="1130">
        <v>200000</v>
      </c>
      <c r="P33" s="1032"/>
      <c r="Q33" s="1032"/>
    </row>
    <row r="34" spans="1:17" x14ac:dyDescent="0.25">
      <c r="A34" s="1583" t="s">
        <v>582</v>
      </c>
      <c r="B34" s="1583"/>
      <c r="C34" s="1583"/>
      <c r="D34" s="1583"/>
      <c r="E34" s="1583"/>
      <c r="F34" s="1583"/>
      <c r="G34" s="1583"/>
      <c r="H34" s="1125"/>
      <c r="I34" s="1125"/>
      <c r="J34" s="1125"/>
      <c r="K34" s="1125"/>
      <c r="L34" s="1125"/>
      <c r="M34" s="336">
        <v>89040200</v>
      </c>
      <c r="N34" s="1138">
        <v>6825000</v>
      </c>
      <c r="O34" s="337">
        <v>89040200</v>
      </c>
      <c r="P34" s="1032"/>
      <c r="Q34" s="1032"/>
    </row>
    <row r="35" spans="1:17" x14ac:dyDescent="0.25">
      <c r="A35" s="828"/>
      <c r="B35" s="828"/>
      <c r="C35" s="828"/>
      <c r="D35" s="338">
        <v>63</v>
      </c>
      <c r="E35" s="1139"/>
      <c r="F35" s="1140"/>
      <c r="G35" s="1067"/>
      <c r="H35" s="1136"/>
      <c r="I35" s="1136"/>
      <c r="J35" s="1136"/>
      <c r="K35" s="1136"/>
      <c r="L35" s="1136"/>
      <c r="M35" s="1141"/>
      <c r="N35" s="1032"/>
      <c r="O35" s="1068"/>
      <c r="P35" s="1032"/>
      <c r="Q35" s="1032"/>
    </row>
    <row r="36" spans="1:17" x14ac:dyDescent="0.25">
      <c r="A36" s="828"/>
      <c r="B36" s="828"/>
      <c r="C36" s="828"/>
      <c r="D36" s="1589" t="s">
        <v>845</v>
      </c>
      <c r="E36" s="1142" t="s">
        <v>846</v>
      </c>
      <c r="F36" s="1137"/>
      <c r="G36" s="1137"/>
      <c r="H36" s="828"/>
      <c r="I36" s="828"/>
      <c r="J36" s="828"/>
      <c r="K36" s="828"/>
      <c r="L36" s="828"/>
      <c r="M36" s="339">
        <v>89040200</v>
      </c>
      <c r="N36" s="1032"/>
      <c r="O36" s="340">
        <v>150</v>
      </c>
      <c r="P36" s="341" t="s">
        <v>1029</v>
      </c>
      <c r="Q36" s="1032"/>
    </row>
    <row r="37" spans="1:17" x14ac:dyDescent="0.25">
      <c r="A37" s="1588"/>
      <c r="B37" s="1588"/>
      <c r="C37" s="1588"/>
      <c r="D37" s="1589"/>
      <c r="E37" s="1144" t="s">
        <v>847</v>
      </c>
      <c r="F37" s="1125"/>
      <c r="G37" s="1125"/>
      <c r="H37" s="1143"/>
      <c r="I37" s="1143"/>
      <c r="J37" s="1143"/>
      <c r="K37" s="1143"/>
      <c r="L37" s="1143"/>
      <c r="M37" s="342">
        <v>89040200</v>
      </c>
      <c r="N37" s="1032"/>
      <c r="O37" s="343">
        <v>3</v>
      </c>
      <c r="P37" s="341" t="s">
        <v>1030</v>
      </c>
      <c r="Q37" s="1145"/>
    </row>
    <row r="38" spans="1:17" x14ac:dyDescent="0.25">
      <c r="A38" s="1588"/>
      <c r="B38" s="1588"/>
      <c r="C38" s="1588"/>
      <c r="D38" s="1589"/>
      <c r="E38" s="1146" t="s">
        <v>601</v>
      </c>
      <c r="F38" s="1136"/>
      <c r="G38" s="1136"/>
      <c r="H38" s="1143"/>
      <c r="I38" s="1143"/>
      <c r="J38" s="1143"/>
      <c r="K38" s="1143"/>
      <c r="L38" s="1143"/>
      <c r="M38" s="1147"/>
      <c r="N38" s="1032"/>
      <c r="O38" s="344">
        <v>0.15</v>
      </c>
      <c r="P38" s="341" t="s">
        <v>1031</v>
      </c>
      <c r="Q38" s="1032"/>
    </row>
    <row r="39" spans="1:17" x14ac:dyDescent="0.25">
      <c r="A39" s="828"/>
      <c r="B39" s="828"/>
      <c r="C39" s="828"/>
      <c r="D39" s="1064"/>
      <c r="E39" s="1591"/>
      <c r="F39" s="1591"/>
      <c r="G39" s="1591"/>
      <c r="H39" s="828"/>
      <c r="I39" s="828"/>
      <c r="J39" s="828"/>
      <c r="K39" s="828"/>
      <c r="L39" s="828"/>
      <c r="M39" s="828"/>
      <c r="N39" s="1032"/>
      <c r="O39" s="345">
        <v>23</v>
      </c>
      <c r="P39" s="341" t="s">
        <v>1032</v>
      </c>
      <c r="Q39" s="1032"/>
    </row>
    <row r="40" spans="1:17" x14ac:dyDescent="0.25">
      <c r="A40" s="1588" t="s">
        <v>583</v>
      </c>
      <c r="B40" s="1588"/>
      <c r="C40" s="1588"/>
      <c r="D40" s="346" t="s">
        <v>583</v>
      </c>
      <c r="E40" s="828"/>
      <c r="F40" s="828"/>
      <c r="G40" s="1143" t="s">
        <v>1033</v>
      </c>
      <c r="H40" s="828"/>
      <c r="I40" s="828"/>
      <c r="J40" s="828"/>
      <c r="K40" s="828"/>
      <c r="L40" s="828"/>
      <c r="M40" s="828"/>
      <c r="N40" s="1032"/>
      <c r="O40" s="345">
        <v>339588.86346300534</v>
      </c>
      <c r="P40" s="341" t="s">
        <v>1034</v>
      </c>
      <c r="Q40" s="1032"/>
    </row>
    <row r="41" spans="1:17" x14ac:dyDescent="0.25">
      <c r="A41" s="1143" t="s">
        <v>1035</v>
      </c>
      <c r="B41" s="1143"/>
      <c r="C41" s="1143"/>
      <c r="D41" s="828"/>
      <c r="E41" s="828"/>
      <c r="F41" s="828"/>
      <c r="G41" s="1143" t="s">
        <v>641</v>
      </c>
      <c r="H41" s="828"/>
      <c r="I41" s="828"/>
      <c r="J41" s="828"/>
      <c r="K41" s="828"/>
      <c r="L41" s="828"/>
      <c r="M41" s="828"/>
      <c r="N41" s="1032"/>
      <c r="O41" s="1068"/>
      <c r="P41" s="1148"/>
      <c r="Q41" s="1032"/>
    </row>
    <row r="42" spans="1:17" x14ac:dyDescent="0.25">
      <c r="A42" s="828"/>
      <c r="B42" s="828"/>
      <c r="C42" s="828"/>
      <c r="D42" s="828"/>
      <c r="E42" s="828"/>
      <c r="F42" s="828"/>
      <c r="G42" s="828"/>
      <c r="H42" s="828"/>
      <c r="I42" s="828"/>
      <c r="J42" s="828"/>
      <c r="K42" s="828"/>
      <c r="L42" s="828"/>
      <c r="M42" s="828"/>
      <c r="N42" s="1032"/>
      <c r="O42" s="1068"/>
      <c r="P42" s="1032"/>
      <c r="Q42" s="1032"/>
    </row>
    <row r="43" spans="1:17" x14ac:dyDescent="0.25">
      <c r="A43" s="828"/>
      <c r="B43" s="828"/>
      <c r="C43" s="828"/>
      <c r="D43" s="828"/>
      <c r="E43" s="828"/>
      <c r="F43" s="828"/>
      <c r="G43" s="828"/>
      <c r="H43" s="828"/>
      <c r="I43" s="828"/>
      <c r="J43" s="828"/>
      <c r="K43" s="828"/>
      <c r="L43" s="828"/>
      <c r="M43" s="828"/>
      <c r="N43" s="1032"/>
      <c r="O43" s="1068"/>
      <c r="P43" s="1032"/>
      <c r="Q43" s="1032"/>
    </row>
    <row r="44" spans="1:17" x14ac:dyDescent="0.25">
      <c r="A44" s="828"/>
      <c r="B44" s="828"/>
      <c r="C44" s="828"/>
      <c r="D44" s="828"/>
      <c r="E44" s="828"/>
      <c r="F44" s="828"/>
      <c r="G44" s="828"/>
      <c r="H44" s="1143"/>
      <c r="I44" s="1143"/>
      <c r="J44" s="1143"/>
      <c r="K44" s="1143"/>
      <c r="L44" s="1143"/>
      <c r="M44" s="828"/>
      <c r="N44" s="1032"/>
      <c r="O44" s="1068"/>
      <c r="P44" s="1149"/>
      <c r="Q44" s="1032"/>
    </row>
    <row r="45" spans="1:17" x14ac:dyDescent="0.25">
      <c r="A45" s="828"/>
      <c r="B45" s="828"/>
      <c r="C45" s="828"/>
      <c r="D45" s="828"/>
      <c r="E45" s="828"/>
      <c r="F45" s="828"/>
      <c r="G45" s="828"/>
      <c r="H45" s="1032"/>
      <c r="I45" s="1032"/>
      <c r="J45" s="1032"/>
      <c r="K45" s="1032"/>
      <c r="L45" s="1032"/>
      <c r="M45" s="828"/>
      <c r="N45" s="1032"/>
      <c r="O45" s="1150"/>
      <c r="P45" s="1032"/>
      <c r="Q45" s="1032"/>
    </row>
    <row r="46" spans="1:17" x14ac:dyDescent="0.25">
      <c r="A46" s="828"/>
      <c r="B46" s="828"/>
      <c r="C46" s="828"/>
      <c r="D46" s="828"/>
      <c r="E46" s="828"/>
      <c r="F46" s="828"/>
      <c r="G46" s="828"/>
      <c r="H46" s="1032"/>
      <c r="I46" s="1032"/>
      <c r="J46" s="1032"/>
      <c r="K46" s="1032"/>
      <c r="L46" s="1032"/>
      <c r="M46" s="828"/>
      <c r="N46" s="1032"/>
      <c r="O46" s="1068"/>
      <c r="P46" s="1032"/>
      <c r="Q46" s="1032"/>
    </row>
    <row r="47" spans="1:17" x14ac:dyDescent="0.25">
      <c r="A47" s="1582" t="s">
        <v>1036</v>
      </c>
      <c r="B47" s="1582"/>
      <c r="C47" s="1582"/>
      <c r="D47" s="348" t="s">
        <v>1037</v>
      </c>
      <c r="E47" s="828"/>
      <c r="F47" s="828"/>
      <c r="G47" s="347" t="s">
        <v>1038</v>
      </c>
      <c r="H47" s="1032"/>
      <c r="I47" s="1032"/>
      <c r="J47" s="1032"/>
      <c r="K47" s="1032"/>
      <c r="L47" s="1032"/>
      <c r="M47" s="828"/>
      <c r="N47" s="1032"/>
      <c r="O47" s="1068"/>
      <c r="P47" s="1032"/>
      <c r="Q47" s="1032"/>
    </row>
    <row r="48" spans="1:17" x14ac:dyDescent="0.25">
      <c r="A48" s="1032"/>
      <c r="B48" s="1032"/>
      <c r="C48" s="1032"/>
      <c r="D48" s="1151"/>
      <c r="E48" s="1032"/>
      <c r="F48" s="1032"/>
      <c r="G48" s="1032"/>
      <c r="H48" s="1032"/>
      <c r="I48" s="1032"/>
      <c r="J48" s="1032"/>
      <c r="K48" s="1032"/>
      <c r="L48" s="1032"/>
      <c r="M48" s="1032"/>
      <c r="N48" s="1032"/>
      <c r="O48" s="1068"/>
      <c r="P48" s="1032"/>
      <c r="Q48" s="1032"/>
    </row>
  </sheetData>
  <mergeCells count="23">
    <mergeCell ref="A1:M1"/>
    <mergeCell ref="M8:M9"/>
    <mergeCell ref="A8:C9"/>
    <mergeCell ref="K8:K9"/>
    <mergeCell ref="G8:G9"/>
    <mergeCell ref="I8:I9"/>
    <mergeCell ref="F8:F9"/>
    <mergeCell ref="A47:C47"/>
    <mergeCell ref="A34:G34"/>
    <mergeCell ref="B28:C28"/>
    <mergeCell ref="O8:O9"/>
    <mergeCell ref="E8:E9"/>
    <mergeCell ref="J8:J9"/>
    <mergeCell ref="H8:H9"/>
    <mergeCell ref="L8:L9"/>
    <mergeCell ref="A26:G26"/>
    <mergeCell ref="A40:C40"/>
    <mergeCell ref="A38:C38"/>
    <mergeCell ref="B29:C29"/>
    <mergeCell ref="A37:C37"/>
    <mergeCell ref="D36:D38"/>
    <mergeCell ref="A27:C27"/>
    <mergeCell ref="E39:G3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2:U38"/>
  <sheetViews>
    <sheetView zoomScale="96" workbookViewId="0">
      <selection activeCell="L23" sqref="L23"/>
    </sheetView>
  </sheetViews>
  <sheetFormatPr defaultColWidth="10" defaultRowHeight="13.2" x14ac:dyDescent="0.25"/>
  <cols>
    <col min="1" max="1" width="2" style="247" customWidth="1"/>
    <col min="2" max="2" width="5.44140625" style="270" customWidth="1"/>
    <col min="3" max="3" width="9.109375" style="270" customWidth="1"/>
    <col min="4" max="4" width="3.44140625" style="270" customWidth="1"/>
    <col min="5" max="5" width="14.33203125" style="247" customWidth="1"/>
    <col min="6" max="11" width="9.109375" style="247" customWidth="1"/>
    <col min="12" max="12" width="0.109375" style="247" customWidth="1"/>
    <col min="13" max="13" width="8" style="247" customWidth="1"/>
    <col min="14" max="14" width="4.44140625" style="247" customWidth="1"/>
    <col min="15" max="15" width="10" style="247" customWidth="1"/>
    <col min="16" max="16" width="4.77734375" style="247" hidden="1" customWidth="1"/>
    <col min="17" max="17" width="7" style="247" hidden="1" customWidth="1"/>
    <col min="18" max="18" width="5.109375" style="247" hidden="1" customWidth="1"/>
    <col min="19" max="19" width="13" style="247" bestFit="1" customWidth="1"/>
    <col min="20" max="20" width="13.109375" style="247" bestFit="1" customWidth="1"/>
    <col min="21" max="21" width="20.44140625" style="247" customWidth="1"/>
    <col min="22" max="22" width="9.33203125" style="247"/>
    <col min="23" max="23" width="13.109375" style="247" bestFit="1" customWidth="1"/>
    <col min="24" max="24" width="12" style="247" bestFit="1" customWidth="1"/>
    <col min="25" max="256" width="9.33203125" style="247"/>
    <col min="257" max="257" width="2" style="247" customWidth="1"/>
    <col min="258" max="258" width="5.44140625" style="247" customWidth="1"/>
    <col min="259" max="259" width="9.109375" style="247" customWidth="1"/>
    <col min="260" max="260" width="3.44140625" style="247" customWidth="1"/>
    <col min="261" max="261" width="14.33203125" style="247" customWidth="1"/>
    <col min="262" max="267" width="9.109375" style="247" customWidth="1"/>
    <col min="268" max="268" width="0.109375" style="247" customWidth="1"/>
    <col min="269" max="269" width="8" style="247" customWidth="1"/>
    <col min="270" max="270" width="4.44140625" style="247" customWidth="1"/>
    <col min="271" max="271" width="10" style="247" customWidth="1"/>
    <col min="272" max="274" width="0" style="247" hidden="1" customWidth="1"/>
    <col min="275" max="275" width="13" style="247" bestFit="1" customWidth="1"/>
    <col min="276" max="277" width="13.109375" style="247" bestFit="1" customWidth="1"/>
    <col min="278" max="278" width="9.33203125" style="247"/>
    <col min="279" max="279" width="13.109375" style="247" bestFit="1" customWidth="1"/>
    <col min="280" max="280" width="12" style="247" bestFit="1" customWidth="1"/>
    <col min="281" max="512" width="9.33203125" style="247"/>
    <col min="513" max="513" width="2" style="247" customWidth="1"/>
    <col min="514" max="514" width="5.44140625" style="247" customWidth="1"/>
    <col min="515" max="515" width="9.109375" style="247" customWidth="1"/>
    <col min="516" max="516" width="3.44140625" style="247" customWidth="1"/>
    <col min="517" max="517" width="14.33203125" style="247" customWidth="1"/>
    <col min="518" max="523" width="9.109375" style="247" customWidth="1"/>
    <col min="524" max="524" width="0.109375" style="247" customWidth="1"/>
    <col min="525" max="525" width="8" style="247" customWidth="1"/>
    <col min="526" max="526" width="4.44140625" style="247" customWidth="1"/>
    <col min="527" max="527" width="10" style="247" customWidth="1"/>
    <col min="528" max="530" width="0" style="247" hidden="1" customWidth="1"/>
    <col min="531" max="531" width="13" style="247" bestFit="1" customWidth="1"/>
    <col min="532" max="533" width="13.109375" style="247" bestFit="1" customWidth="1"/>
    <col min="534" max="534" width="9.33203125" style="247"/>
    <col min="535" max="535" width="13.109375" style="247" bestFit="1" customWidth="1"/>
    <col min="536" max="536" width="12" style="247" bestFit="1" customWidth="1"/>
    <col min="537" max="768" width="9.33203125" style="247"/>
    <col min="769" max="769" width="2" style="247" customWidth="1"/>
    <col min="770" max="770" width="5.44140625" style="247" customWidth="1"/>
    <col min="771" max="771" width="9.109375" style="247" customWidth="1"/>
    <col min="772" max="772" width="3.44140625" style="247" customWidth="1"/>
    <col min="773" max="773" width="14.33203125" style="247" customWidth="1"/>
    <col min="774" max="779" width="9.109375" style="247" customWidth="1"/>
    <col min="780" max="780" width="0.109375" style="247" customWidth="1"/>
    <col min="781" max="781" width="8" style="247" customWidth="1"/>
    <col min="782" max="782" width="4.44140625" style="247" customWidth="1"/>
    <col min="783" max="783" width="10" style="247" customWidth="1"/>
    <col min="784" max="786" width="0" style="247" hidden="1" customWidth="1"/>
    <col min="787" max="787" width="13" style="247" bestFit="1" customWidth="1"/>
    <col min="788" max="789" width="13.109375" style="247" bestFit="1" customWidth="1"/>
    <col min="790" max="790" width="9.33203125" style="247"/>
    <col min="791" max="791" width="13.109375" style="247" bestFit="1" customWidth="1"/>
    <col min="792" max="792" width="12" style="247" bestFit="1" customWidth="1"/>
    <col min="793" max="1024" width="9.33203125" style="247"/>
    <col min="1025" max="1025" width="2" style="247" customWidth="1"/>
    <col min="1026" max="1026" width="5.44140625" style="247" customWidth="1"/>
    <col min="1027" max="1027" width="9.109375" style="247" customWidth="1"/>
    <col min="1028" max="1028" width="3.44140625" style="247" customWidth="1"/>
    <col min="1029" max="1029" width="14.33203125" style="247" customWidth="1"/>
    <col min="1030" max="1035" width="9.109375" style="247" customWidth="1"/>
    <col min="1036" max="1036" width="0.109375" style="247" customWidth="1"/>
    <col min="1037" max="1037" width="8" style="247" customWidth="1"/>
    <col min="1038" max="1038" width="4.44140625" style="247" customWidth="1"/>
    <col min="1039" max="1039" width="10" style="247" customWidth="1"/>
    <col min="1040" max="1042" width="0" style="247" hidden="1" customWidth="1"/>
    <col min="1043" max="1043" width="13" style="247" bestFit="1" customWidth="1"/>
    <col min="1044" max="1045" width="13.109375" style="247" bestFit="1" customWidth="1"/>
    <col min="1046" max="1046" width="9.33203125" style="247"/>
    <col min="1047" max="1047" width="13.109375" style="247" bestFit="1" customWidth="1"/>
    <col min="1048" max="1048" width="12" style="247" bestFit="1" customWidth="1"/>
    <col min="1049" max="1280" width="9.33203125" style="247"/>
    <col min="1281" max="1281" width="2" style="247" customWidth="1"/>
    <col min="1282" max="1282" width="5.44140625" style="247" customWidth="1"/>
    <col min="1283" max="1283" width="9.109375" style="247" customWidth="1"/>
    <col min="1284" max="1284" width="3.44140625" style="247" customWidth="1"/>
    <col min="1285" max="1285" width="14.33203125" style="247" customWidth="1"/>
    <col min="1286" max="1291" width="9.109375" style="247" customWidth="1"/>
    <col min="1292" max="1292" width="0.109375" style="247" customWidth="1"/>
    <col min="1293" max="1293" width="8" style="247" customWidth="1"/>
    <col min="1294" max="1294" width="4.44140625" style="247" customWidth="1"/>
    <col min="1295" max="1295" width="10" style="247" customWidth="1"/>
    <col min="1296" max="1298" width="0" style="247" hidden="1" customWidth="1"/>
    <col min="1299" max="1299" width="13" style="247" bestFit="1" customWidth="1"/>
    <col min="1300" max="1301" width="13.109375" style="247" bestFit="1" customWidth="1"/>
    <col min="1302" max="1302" width="9.33203125" style="247"/>
    <col min="1303" max="1303" width="13.109375" style="247" bestFit="1" customWidth="1"/>
    <col min="1304" max="1304" width="12" style="247" bestFit="1" customWidth="1"/>
    <col min="1305" max="1536" width="9.33203125" style="247"/>
    <col min="1537" max="1537" width="2" style="247" customWidth="1"/>
    <col min="1538" max="1538" width="5.44140625" style="247" customWidth="1"/>
    <col min="1539" max="1539" width="9.109375" style="247" customWidth="1"/>
    <col min="1540" max="1540" width="3.44140625" style="247" customWidth="1"/>
    <col min="1541" max="1541" width="14.33203125" style="247" customWidth="1"/>
    <col min="1542" max="1547" width="9.109375" style="247" customWidth="1"/>
    <col min="1548" max="1548" width="0.109375" style="247" customWidth="1"/>
    <col min="1549" max="1549" width="8" style="247" customWidth="1"/>
    <col min="1550" max="1550" width="4.44140625" style="247" customWidth="1"/>
    <col min="1551" max="1551" width="10" style="247" customWidth="1"/>
    <col min="1552" max="1554" width="0" style="247" hidden="1" customWidth="1"/>
    <col min="1555" max="1555" width="13" style="247" bestFit="1" customWidth="1"/>
    <col min="1556" max="1557" width="13.109375" style="247" bestFit="1" customWidth="1"/>
    <col min="1558" max="1558" width="9.33203125" style="247"/>
    <col min="1559" max="1559" width="13.109375" style="247" bestFit="1" customWidth="1"/>
    <col min="1560" max="1560" width="12" style="247" bestFit="1" customWidth="1"/>
    <col min="1561" max="1792" width="9.33203125" style="247"/>
    <col min="1793" max="1793" width="2" style="247" customWidth="1"/>
    <col min="1794" max="1794" width="5.44140625" style="247" customWidth="1"/>
    <col min="1795" max="1795" width="9.109375" style="247" customWidth="1"/>
    <col min="1796" max="1796" width="3.44140625" style="247" customWidth="1"/>
    <col min="1797" max="1797" width="14.33203125" style="247" customWidth="1"/>
    <col min="1798" max="1803" width="9.109375" style="247" customWidth="1"/>
    <col min="1804" max="1804" width="0.109375" style="247" customWidth="1"/>
    <col min="1805" max="1805" width="8" style="247" customWidth="1"/>
    <col min="1806" max="1806" width="4.44140625" style="247" customWidth="1"/>
    <col min="1807" max="1807" width="10" style="247" customWidth="1"/>
    <col min="1808" max="1810" width="0" style="247" hidden="1" customWidth="1"/>
    <col min="1811" max="1811" width="13" style="247" bestFit="1" customWidth="1"/>
    <col min="1812" max="1813" width="13.109375" style="247" bestFit="1" customWidth="1"/>
    <col min="1814" max="1814" width="9.33203125" style="247"/>
    <col min="1815" max="1815" width="13.109375" style="247" bestFit="1" customWidth="1"/>
    <col min="1816" max="1816" width="12" style="247" bestFit="1" customWidth="1"/>
    <col min="1817" max="2048" width="9.33203125" style="247"/>
    <col min="2049" max="2049" width="2" style="247" customWidth="1"/>
    <col min="2050" max="2050" width="5.44140625" style="247" customWidth="1"/>
    <col min="2051" max="2051" width="9.109375" style="247" customWidth="1"/>
    <col min="2052" max="2052" width="3.44140625" style="247" customWidth="1"/>
    <col min="2053" max="2053" width="14.33203125" style="247" customWidth="1"/>
    <col min="2054" max="2059" width="9.109375" style="247" customWidth="1"/>
    <col min="2060" max="2060" width="0.109375" style="247" customWidth="1"/>
    <col min="2061" max="2061" width="8" style="247" customWidth="1"/>
    <col min="2062" max="2062" width="4.44140625" style="247" customWidth="1"/>
    <col min="2063" max="2063" width="10" style="247" customWidth="1"/>
    <col min="2064" max="2066" width="0" style="247" hidden="1" customWidth="1"/>
    <col min="2067" max="2067" width="13" style="247" bestFit="1" customWidth="1"/>
    <col min="2068" max="2069" width="13.109375" style="247" bestFit="1" customWidth="1"/>
    <col min="2070" max="2070" width="9.33203125" style="247"/>
    <col min="2071" max="2071" width="13.109375" style="247" bestFit="1" customWidth="1"/>
    <col min="2072" max="2072" width="12" style="247" bestFit="1" customWidth="1"/>
    <col min="2073" max="2304" width="9.33203125" style="247"/>
    <col min="2305" max="2305" width="2" style="247" customWidth="1"/>
    <col min="2306" max="2306" width="5.44140625" style="247" customWidth="1"/>
    <col min="2307" max="2307" width="9.109375" style="247" customWidth="1"/>
    <col min="2308" max="2308" width="3.44140625" style="247" customWidth="1"/>
    <col min="2309" max="2309" width="14.33203125" style="247" customWidth="1"/>
    <col min="2310" max="2315" width="9.109375" style="247" customWidth="1"/>
    <col min="2316" max="2316" width="0.109375" style="247" customWidth="1"/>
    <col min="2317" max="2317" width="8" style="247" customWidth="1"/>
    <col min="2318" max="2318" width="4.44140625" style="247" customWidth="1"/>
    <col min="2319" max="2319" width="10" style="247" customWidth="1"/>
    <col min="2320" max="2322" width="0" style="247" hidden="1" customWidth="1"/>
    <col min="2323" max="2323" width="13" style="247" bestFit="1" customWidth="1"/>
    <col min="2324" max="2325" width="13.109375" style="247" bestFit="1" customWidth="1"/>
    <col min="2326" max="2326" width="9.33203125" style="247"/>
    <col min="2327" max="2327" width="13.109375" style="247" bestFit="1" customWidth="1"/>
    <col min="2328" max="2328" width="12" style="247" bestFit="1" customWidth="1"/>
    <col min="2329" max="2560" width="9.33203125" style="247"/>
    <col min="2561" max="2561" width="2" style="247" customWidth="1"/>
    <col min="2562" max="2562" width="5.44140625" style="247" customWidth="1"/>
    <col min="2563" max="2563" width="9.109375" style="247" customWidth="1"/>
    <col min="2564" max="2564" width="3.44140625" style="247" customWidth="1"/>
    <col min="2565" max="2565" width="14.33203125" style="247" customWidth="1"/>
    <col min="2566" max="2571" width="9.109375" style="247" customWidth="1"/>
    <col min="2572" max="2572" width="0.109375" style="247" customWidth="1"/>
    <col min="2573" max="2573" width="8" style="247" customWidth="1"/>
    <col min="2574" max="2574" width="4.44140625" style="247" customWidth="1"/>
    <col min="2575" max="2575" width="10" style="247" customWidth="1"/>
    <col min="2576" max="2578" width="0" style="247" hidden="1" customWidth="1"/>
    <col min="2579" max="2579" width="13" style="247" bestFit="1" customWidth="1"/>
    <col min="2580" max="2581" width="13.109375" style="247" bestFit="1" customWidth="1"/>
    <col min="2582" max="2582" width="9.33203125" style="247"/>
    <col min="2583" max="2583" width="13.109375" style="247" bestFit="1" customWidth="1"/>
    <col min="2584" max="2584" width="12" style="247" bestFit="1" customWidth="1"/>
    <col min="2585" max="2816" width="9.33203125" style="247"/>
    <col min="2817" max="2817" width="2" style="247" customWidth="1"/>
    <col min="2818" max="2818" width="5.44140625" style="247" customWidth="1"/>
    <col min="2819" max="2819" width="9.109375" style="247" customWidth="1"/>
    <col min="2820" max="2820" width="3.44140625" style="247" customWidth="1"/>
    <col min="2821" max="2821" width="14.33203125" style="247" customWidth="1"/>
    <col min="2822" max="2827" width="9.109375" style="247" customWidth="1"/>
    <col min="2828" max="2828" width="0.109375" style="247" customWidth="1"/>
    <col min="2829" max="2829" width="8" style="247" customWidth="1"/>
    <col min="2830" max="2830" width="4.44140625" style="247" customWidth="1"/>
    <col min="2831" max="2831" width="10" style="247" customWidth="1"/>
    <col min="2832" max="2834" width="0" style="247" hidden="1" customWidth="1"/>
    <col min="2835" max="2835" width="13" style="247" bestFit="1" customWidth="1"/>
    <col min="2836" max="2837" width="13.109375" style="247" bestFit="1" customWidth="1"/>
    <col min="2838" max="2838" width="9.33203125" style="247"/>
    <col min="2839" max="2839" width="13.109375" style="247" bestFit="1" customWidth="1"/>
    <col min="2840" max="2840" width="12" style="247" bestFit="1" customWidth="1"/>
    <col min="2841" max="3072" width="9.33203125" style="247"/>
    <col min="3073" max="3073" width="2" style="247" customWidth="1"/>
    <col min="3074" max="3074" width="5.44140625" style="247" customWidth="1"/>
    <col min="3075" max="3075" width="9.109375" style="247" customWidth="1"/>
    <col min="3076" max="3076" width="3.44140625" style="247" customWidth="1"/>
    <col min="3077" max="3077" width="14.33203125" style="247" customWidth="1"/>
    <col min="3078" max="3083" width="9.109375" style="247" customWidth="1"/>
    <col min="3084" max="3084" width="0.109375" style="247" customWidth="1"/>
    <col min="3085" max="3085" width="8" style="247" customWidth="1"/>
    <col min="3086" max="3086" width="4.44140625" style="247" customWidth="1"/>
    <col min="3087" max="3087" width="10" style="247" customWidth="1"/>
    <col min="3088" max="3090" width="0" style="247" hidden="1" customWidth="1"/>
    <col min="3091" max="3091" width="13" style="247" bestFit="1" customWidth="1"/>
    <col min="3092" max="3093" width="13.109375" style="247" bestFit="1" customWidth="1"/>
    <col min="3094" max="3094" width="9.33203125" style="247"/>
    <col min="3095" max="3095" width="13.109375" style="247" bestFit="1" customWidth="1"/>
    <col min="3096" max="3096" width="12" style="247" bestFit="1" customWidth="1"/>
    <col min="3097" max="3328" width="9.33203125" style="247"/>
    <col min="3329" max="3329" width="2" style="247" customWidth="1"/>
    <col min="3330" max="3330" width="5.44140625" style="247" customWidth="1"/>
    <col min="3331" max="3331" width="9.109375" style="247" customWidth="1"/>
    <col min="3332" max="3332" width="3.44140625" style="247" customWidth="1"/>
    <col min="3333" max="3333" width="14.33203125" style="247" customWidth="1"/>
    <col min="3334" max="3339" width="9.109375" style="247" customWidth="1"/>
    <col min="3340" max="3340" width="0.109375" style="247" customWidth="1"/>
    <col min="3341" max="3341" width="8" style="247" customWidth="1"/>
    <col min="3342" max="3342" width="4.44140625" style="247" customWidth="1"/>
    <col min="3343" max="3343" width="10" style="247" customWidth="1"/>
    <col min="3344" max="3346" width="0" style="247" hidden="1" customWidth="1"/>
    <col min="3347" max="3347" width="13" style="247" bestFit="1" customWidth="1"/>
    <col min="3348" max="3349" width="13.109375" style="247" bestFit="1" customWidth="1"/>
    <col min="3350" max="3350" width="9.33203125" style="247"/>
    <col min="3351" max="3351" width="13.109375" style="247" bestFit="1" customWidth="1"/>
    <col min="3352" max="3352" width="12" style="247" bestFit="1" customWidth="1"/>
    <col min="3353" max="3584" width="9.33203125" style="247"/>
    <col min="3585" max="3585" width="2" style="247" customWidth="1"/>
    <col min="3586" max="3586" width="5.44140625" style="247" customWidth="1"/>
    <col min="3587" max="3587" width="9.109375" style="247" customWidth="1"/>
    <col min="3588" max="3588" width="3.44140625" style="247" customWidth="1"/>
    <col min="3589" max="3589" width="14.33203125" style="247" customWidth="1"/>
    <col min="3590" max="3595" width="9.109375" style="247" customWidth="1"/>
    <col min="3596" max="3596" width="0.109375" style="247" customWidth="1"/>
    <col min="3597" max="3597" width="8" style="247" customWidth="1"/>
    <col min="3598" max="3598" width="4.44140625" style="247" customWidth="1"/>
    <col min="3599" max="3599" width="10" style="247" customWidth="1"/>
    <col min="3600" max="3602" width="0" style="247" hidden="1" customWidth="1"/>
    <col min="3603" max="3603" width="13" style="247" bestFit="1" customWidth="1"/>
    <col min="3604" max="3605" width="13.109375" style="247" bestFit="1" customWidth="1"/>
    <col min="3606" max="3606" width="9.33203125" style="247"/>
    <col min="3607" max="3607" width="13.109375" style="247" bestFit="1" customWidth="1"/>
    <col min="3608" max="3608" width="12" style="247" bestFit="1" customWidth="1"/>
    <col min="3609" max="3840" width="9.33203125" style="247"/>
    <col min="3841" max="3841" width="2" style="247" customWidth="1"/>
    <col min="3842" max="3842" width="5.44140625" style="247" customWidth="1"/>
    <col min="3843" max="3843" width="9.109375" style="247" customWidth="1"/>
    <col min="3844" max="3844" width="3.44140625" style="247" customWidth="1"/>
    <col min="3845" max="3845" width="14.33203125" style="247" customWidth="1"/>
    <col min="3846" max="3851" width="9.109375" style="247" customWidth="1"/>
    <col min="3852" max="3852" width="0.109375" style="247" customWidth="1"/>
    <col min="3853" max="3853" width="8" style="247" customWidth="1"/>
    <col min="3854" max="3854" width="4.44140625" style="247" customWidth="1"/>
    <col min="3855" max="3855" width="10" style="247" customWidth="1"/>
    <col min="3856" max="3858" width="0" style="247" hidden="1" customWidth="1"/>
    <col min="3859" max="3859" width="13" style="247" bestFit="1" customWidth="1"/>
    <col min="3860" max="3861" width="13.109375" style="247" bestFit="1" customWidth="1"/>
    <col min="3862" max="3862" width="9.33203125" style="247"/>
    <col min="3863" max="3863" width="13.109375" style="247" bestFit="1" customWidth="1"/>
    <col min="3864" max="3864" width="12" style="247" bestFit="1" customWidth="1"/>
    <col min="3865" max="4096" width="9.33203125" style="247"/>
    <col min="4097" max="4097" width="2" style="247" customWidth="1"/>
    <col min="4098" max="4098" width="5.44140625" style="247" customWidth="1"/>
    <col min="4099" max="4099" width="9.109375" style="247" customWidth="1"/>
    <col min="4100" max="4100" width="3.44140625" style="247" customWidth="1"/>
    <col min="4101" max="4101" width="14.33203125" style="247" customWidth="1"/>
    <col min="4102" max="4107" width="9.109375" style="247" customWidth="1"/>
    <col min="4108" max="4108" width="0.109375" style="247" customWidth="1"/>
    <col min="4109" max="4109" width="8" style="247" customWidth="1"/>
    <col min="4110" max="4110" width="4.44140625" style="247" customWidth="1"/>
    <col min="4111" max="4111" width="10" style="247" customWidth="1"/>
    <col min="4112" max="4114" width="0" style="247" hidden="1" customWidth="1"/>
    <col min="4115" max="4115" width="13" style="247" bestFit="1" customWidth="1"/>
    <col min="4116" max="4117" width="13.109375" style="247" bestFit="1" customWidth="1"/>
    <col min="4118" max="4118" width="9.33203125" style="247"/>
    <col min="4119" max="4119" width="13.109375" style="247" bestFit="1" customWidth="1"/>
    <col min="4120" max="4120" width="12" style="247" bestFit="1" customWidth="1"/>
    <col min="4121" max="4352" width="9.33203125" style="247"/>
    <col min="4353" max="4353" width="2" style="247" customWidth="1"/>
    <col min="4354" max="4354" width="5.44140625" style="247" customWidth="1"/>
    <col min="4355" max="4355" width="9.109375" style="247" customWidth="1"/>
    <col min="4356" max="4356" width="3.44140625" style="247" customWidth="1"/>
    <col min="4357" max="4357" width="14.33203125" style="247" customWidth="1"/>
    <col min="4358" max="4363" width="9.109375" style="247" customWidth="1"/>
    <col min="4364" max="4364" width="0.109375" style="247" customWidth="1"/>
    <col min="4365" max="4365" width="8" style="247" customWidth="1"/>
    <col min="4366" max="4366" width="4.44140625" style="247" customWidth="1"/>
    <col min="4367" max="4367" width="10" style="247" customWidth="1"/>
    <col min="4368" max="4370" width="0" style="247" hidden="1" customWidth="1"/>
    <col min="4371" max="4371" width="13" style="247" bestFit="1" customWidth="1"/>
    <col min="4372" max="4373" width="13.109375" style="247" bestFit="1" customWidth="1"/>
    <col min="4374" max="4374" width="9.33203125" style="247"/>
    <col min="4375" max="4375" width="13.109375" style="247" bestFit="1" customWidth="1"/>
    <col min="4376" max="4376" width="12" style="247" bestFit="1" customWidth="1"/>
    <col min="4377" max="4608" width="9.33203125" style="247"/>
    <col min="4609" max="4609" width="2" style="247" customWidth="1"/>
    <col min="4610" max="4610" width="5.44140625" style="247" customWidth="1"/>
    <col min="4611" max="4611" width="9.109375" style="247" customWidth="1"/>
    <col min="4612" max="4612" width="3.44140625" style="247" customWidth="1"/>
    <col min="4613" max="4613" width="14.33203125" style="247" customWidth="1"/>
    <col min="4614" max="4619" width="9.109375" style="247" customWidth="1"/>
    <col min="4620" max="4620" width="0.109375" style="247" customWidth="1"/>
    <col min="4621" max="4621" width="8" style="247" customWidth="1"/>
    <col min="4622" max="4622" width="4.44140625" style="247" customWidth="1"/>
    <col min="4623" max="4623" width="10" style="247" customWidth="1"/>
    <col min="4624" max="4626" width="0" style="247" hidden="1" customWidth="1"/>
    <col min="4627" max="4627" width="13" style="247" bestFit="1" customWidth="1"/>
    <col min="4628" max="4629" width="13.109375" style="247" bestFit="1" customWidth="1"/>
    <col min="4630" max="4630" width="9.33203125" style="247"/>
    <col min="4631" max="4631" width="13.109375" style="247" bestFit="1" customWidth="1"/>
    <col min="4632" max="4632" width="12" style="247" bestFit="1" customWidth="1"/>
    <col min="4633" max="4864" width="9.33203125" style="247"/>
    <col min="4865" max="4865" width="2" style="247" customWidth="1"/>
    <col min="4866" max="4866" width="5.44140625" style="247" customWidth="1"/>
    <col min="4867" max="4867" width="9.109375" style="247" customWidth="1"/>
    <col min="4868" max="4868" width="3.44140625" style="247" customWidth="1"/>
    <col min="4869" max="4869" width="14.33203125" style="247" customWidth="1"/>
    <col min="4870" max="4875" width="9.109375" style="247" customWidth="1"/>
    <col min="4876" max="4876" width="0.109375" style="247" customWidth="1"/>
    <col min="4877" max="4877" width="8" style="247" customWidth="1"/>
    <col min="4878" max="4878" width="4.44140625" style="247" customWidth="1"/>
    <col min="4879" max="4879" width="10" style="247" customWidth="1"/>
    <col min="4880" max="4882" width="0" style="247" hidden="1" customWidth="1"/>
    <col min="4883" max="4883" width="13" style="247" bestFit="1" customWidth="1"/>
    <col min="4884" max="4885" width="13.109375" style="247" bestFit="1" customWidth="1"/>
    <col min="4886" max="4886" width="9.33203125" style="247"/>
    <col min="4887" max="4887" width="13.109375" style="247" bestFit="1" customWidth="1"/>
    <col min="4888" max="4888" width="12" style="247" bestFit="1" customWidth="1"/>
    <col min="4889" max="5120" width="9.33203125" style="247"/>
    <col min="5121" max="5121" width="2" style="247" customWidth="1"/>
    <col min="5122" max="5122" width="5.44140625" style="247" customWidth="1"/>
    <col min="5123" max="5123" width="9.109375" style="247" customWidth="1"/>
    <col min="5124" max="5124" width="3.44140625" style="247" customWidth="1"/>
    <col min="5125" max="5125" width="14.33203125" style="247" customWidth="1"/>
    <col min="5126" max="5131" width="9.109375" style="247" customWidth="1"/>
    <col min="5132" max="5132" width="0.109375" style="247" customWidth="1"/>
    <col min="5133" max="5133" width="8" style="247" customWidth="1"/>
    <col min="5134" max="5134" width="4.44140625" style="247" customWidth="1"/>
    <col min="5135" max="5135" width="10" style="247" customWidth="1"/>
    <col min="5136" max="5138" width="0" style="247" hidden="1" customWidth="1"/>
    <col min="5139" max="5139" width="13" style="247" bestFit="1" customWidth="1"/>
    <col min="5140" max="5141" width="13.109375" style="247" bestFit="1" customWidth="1"/>
    <col min="5142" max="5142" width="9.33203125" style="247"/>
    <col min="5143" max="5143" width="13.109375" style="247" bestFit="1" customWidth="1"/>
    <col min="5144" max="5144" width="12" style="247" bestFit="1" customWidth="1"/>
    <col min="5145" max="5376" width="9.33203125" style="247"/>
    <col min="5377" max="5377" width="2" style="247" customWidth="1"/>
    <col min="5378" max="5378" width="5.44140625" style="247" customWidth="1"/>
    <col min="5379" max="5379" width="9.109375" style="247" customWidth="1"/>
    <col min="5380" max="5380" width="3.44140625" style="247" customWidth="1"/>
    <col min="5381" max="5381" width="14.33203125" style="247" customWidth="1"/>
    <col min="5382" max="5387" width="9.109375" style="247" customWidth="1"/>
    <col min="5388" max="5388" width="0.109375" style="247" customWidth="1"/>
    <col min="5389" max="5389" width="8" style="247" customWidth="1"/>
    <col min="5390" max="5390" width="4.44140625" style="247" customWidth="1"/>
    <col min="5391" max="5391" width="10" style="247" customWidth="1"/>
    <col min="5392" max="5394" width="0" style="247" hidden="1" customWidth="1"/>
    <col min="5395" max="5395" width="13" style="247" bestFit="1" customWidth="1"/>
    <col min="5396" max="5397" width="13.109375" style="247" bestFit="1" customWidth="1"/>
    <col min="5398" max="5398" width="9.33203125" style="247"/>
    <col min="5399" max="5399" width="13.109375" style="247" bestFit="1" customWidth="1"/>
    <col min="5400" max="5400" width="12" style="247" bestFit="1" customWidth="1"/>
    <col min="5401" max="5632" width="9.33203125" style="247"/>
    <col min="5633" max="5633" width="2" style="247" customWidth="1"/>
    <col min="5634" max="5634" width="5.44140625" style="247" customWidth="1"/>
    <col min="5635" max="5635" width="9.109375" style="247" customWidth="1"/>
    <col min="5636" max="5636" width="3.44140625" style="247" customWidth="1"/>
    <col min="5637" max="5637" width="14.33203125" style="247" customWidth="1"/>
    <col min="5638" max="5643" width="9.109375" style="247" customWidth="1"/>
    <col min="5644" max="5644" width="0.109375" style="247" customWidth="1"/>
    <col min="5645" max="5645" width="8" style="247" customWidth="1"/>
    <col min="5646" max="5646" width="4.44140625" style="247" customWidth="1"/>
    <col min="5647" max="5647" width="10" style="247" customWidth="1"/>
    <col min="5648" max="5650" width="0" style="247" hidden="1" customWidth="1"/>
    <col min="5651" max="5651" width="13" style="247" bestFit="1" customWidth="1"/>
    <col min="5652" max="5653" width="13.109375" style="247" bestFit="1" customWidth="1"/>
    <col min="5654" max="5654" width="9.33203125" style="247"/>
    <col min="5655" max="5655" width="13.109375" style="247" bestFit="1" customWidth="1"/>
    <col min="5656" max="5656" width="12" style="247" bestFit="1" customWidth="1"/>
    <col min="5657" max="5888" width="9.33203125" style="247"/>
    <col min="5889" max="5889" width="2" style="247" customWidth="1"/>
    <col min="5890" max="5890" width="5.44140625" style="247" customWidth="1"/>
    <col min="5891" max="5891" width="9.109375" style="247" customWidth="1"/>
    <col min="5892" max="5892" width="3.44140625" style="247" customWidth="1"/>
    <col min="5893" max="5893" width="14.33203125" style="247" customWidth="1"/>
    <col min="5894" max="5899" width="9.109375" style="247" customWidth="1"/>
    <col min="5900" max="5900" width="0.109375" style="247" customWidth="1"/>
    <col min="5901" max="5901" width="8" style="247" customWidth="1"/>
    <col min="5902" max="5902" width="4.44140625" style="247" customWidth="1"/>
    <col min="5903" max="5903" width="10" style="247" customWidth="1"/>
    <col min="5904" max="5906" width="0" style="247" hidden="1" customWidth="1"/>
    <col min="5907" max="5907" width="13" style="247" bestFit="1" customWidth="1"/>
    <col min="5908" max="5909" width="13.109375" style="247" bestFit="1" customWidth="1"/>
    <col min="5910" max="5910" width="9.33203125" style="247"/>
    <col min="5911" max="5911" width="13.109375" style="247" bestFit="1" customWidth="1"/>
    <col min="5912" max="5912" width="12" style="247" bestFit="1" customWidth="1"/>
    <col min="5913" max="6144" width="9.33203125" style="247"/>
    <col min="6145" max="6145" width="2" style="247" customWidth="1"/>
    <col min="6146" max="6146" width="5.44140625" style="247" customWidth="1"/>
    <col min="6147" max="6147" width="9.109375" style="247" customWidth="1"/>
    <col min="6148" max="6148" width="3.44140625" style="247" customWidth="1"/>
    <col min="6149" max="6149" width="14.33203125" style="247" customWidth="1"/>
    <col min="6150" max="6155" width="9.109375" style="247" customWidth="1"/>
    <col min="6156" max="6156" width="0.109375" style="247" customWidth="1"/>
    <col min="6157" max="6157" width="8" style="247" customWidth="1"/>
    <col min="6158" max="6158" width="4.44140625" style="247" customWidth="1"/>
    <col min="6159" max="6159" width="10" style="247" customWidth="1"/>
    <col min="6160" max="6162" width="0" style="247" hidden="1" customWidth="1"/>
    <col min="6163" max="6163" width="13" style="247" bestFit="1" customWidth="1"/>
    <col min="6164" max="6165" width="13.109375" style="247" bestFit="1" customWidth="1"/>
    <col min="6166" max="6166" width="9.33203125" style="247"/>
    <col min="6167" max="6167" width="13.109375" style="247" bestFit="1" customWidth="1"/>
    <col min="6168" max="6168" width="12" style="247" bestFit="1" customWidth="1"/>
    <col min="6169" max="6400" width="9.33203125" style="247"/>
    <col min="6401" max="6401" width="2" style="247" customWidth="1"/>
    <col min="6402" max="6402" width="5.44140625" style="247" customWidth="1"/>
    <col min="6403" max="6403" width="9.109375" style="247" customWidth="1"/>
    <col min="6404" max="6404" width="3.44140625" style="247" customWidth="1"/>
    <col min="6405" max="6405" width="14.33203125" style="247" customWidth="1"/>
    <col min="6406" max="6411" width="9.109375" style="247" customWidth="1"/>
    <col min="6412" max="6412" width="0.109375" style="247" customWidth="1"/>
    <col min="6413" max="6413" width="8" style="247" customWidth="1"/>
    <col min="6414" max="6414" width="4.44140625" style="247" customWidth="1"/>
    <col min="6415" max="6415" width="10" style="247" customWidth="1"/>
    <col min="6416" max="6418" width="0" style="247" hidden="1" customWidth="1"/>
    <col min="6419" max="6419" width="13" style="247" bestFit="1" customWidth="1"/>
    <col min="6420" max="6421" width="13.109375" style="247" bestFit="1" customWidth="1"/>
    <col min="6422" max="6422" width="9.33203125" style="247"/>
    <col min="6423" max="6423" width="13.109375" style="247" bestFit="1" customWidth="1"/>
    <col min="6424" max="6424" width="12" style="247" bestFit="1" customWidth="1"/>
    <col min="6425" max="6656" width="9.33203125" style="247"/>
    <col min="6657" max="6657" width="2" style="247" customWidth="1"/>
    <col min="6658" max="6658" width="5.44140625" style="247" customWidth="1"/>
    <col min="6659" max="6659" width="9.109375" style="247" customWidth="1"/>
    <col min="6660" max="6660" width="3.44140625" style="247" customWidth="1"/>
    <col min="6661" max="6661" width="14.33203125" style="247" customWidth="1"/>
    <col min="6662" max="6667" width="9.109375" style="247" customWidth="1"/>
    <col min="6668" max="6668" width="0.109375" style="247" customWidth="1"/>
    <col min="6669" max="6669" width="8" style="247" customWidth="1"/>
    <col min="6670" max="6670" width="4.44140625" style="247" customWidth="1"/>
    <col min="6671" max="6671" width="10" style="247" customWidth="1"/>
    <col min="6672" max="6674" width="0" style="247" hidden="1" customWidth="1"/>
    <col min="6675" max="6675" width="13" style="247" bestFit="1" customWidth="1"/>
    <col min="6676" max="6677" width="13.109375" style="247" bestFit="1" customWidth="1"/>
    <col min="6678" max="6678" width="9.33203125" style="247"/>
    <col min="6679" max="6679" width="13.109375" style="247" bestFit="1" customWidth="1"/>
    <col min="6680" max="6680" width="12" style="247" bestFit="1" customWidth="1"/>
    <col min="6681" max="6912" width="9.33203125" style="247"/>
    <col min="6913" max="6913" width="2" style="247" customWidth="1"/>
    <col min="6914" max="6914" width="5.44140625" style="247" customWidth="1"/>
    <col min="6915" max="6915" width="9.109375" style="247" customWidth="1"/>
    <col min="6916" max="6916" width="3.44140625" style="247" customWidth="1"/>
    <col min="6917" max="6917" width="14.33203125" style="247" customWidth="1"/>
    <col min="6918" max="6923" width="9.109375" style="247" customWidth="1"/>
    <col min="6924" max="6924" width="0.109375" style="247" customWidth="1"/>
    <col min="6925" max="6925" width="8" style="247" customWidth="1"/>
    <col min="6926" max="6926" width="4.44140625" style="247" customWidth="1"/>
    <col min="6927" max="6927" width="10" style="247" customWidth="1"/>
    <col min="6928" max="6930" width="0" style="247" hidden="1" customWidth="1"/>
    <col min="6931" max="6931" width="13" style="247" bestFit="1" customWidth="1"/>
    <col min="6932" max="6933" width="13.109375" style="247" bestFit="1" customWidth="1"/>
    <col min="6934" max="6934" width="9.33203125" style="247"/>
    <col min="6935" max="6935" width="13.109375" style="247" bestFit="1" customWidth="1"/>
    <col min="6936" max="6936" width="12" style="247" bestFit="1" customWidth="1"/>
    <col min="6937" max="7168" width="9.33203125" style="247"/>
    <col min="7169" max="7169" width="2" style="247" customWidth="1"/>
    <col min="7170" max="7170" width="5.44140625" style="247" customWidth="1"/>
    <col min="7171" max="7171" width="9.109375" style="247" customWidth="1"/>
    <col min="7172" max="7172" width="3.44140625" style="247" customWidth="1"/>
    <col min="7173" max="7173" width="14.33203125" style="247" customWidth="1"/>
    <col min="7174" max="7179" width="9.109375" style="247" customWidth="1"/>
    <col min="7180" max="7180" width="0.109375" style="247" customWidth="1"/>
    <col min="7181" max="7181" width="8" style="247" customWidth="1"/>
    <col min="7182" max="7182" width="4.44140625" style="247" customWidth="1"/>
    <col min="7183" max="7183" width="10" style="247" customWidth="1"/>
    <col min="7184" max="7186" width="0" style="247" hidden="1" customWidth="1"/>
    <col min="7187" max="7187" width="13" style="247" bestFit="1" customWidth="1"/>
    <col min="7188" max="7189" width="13.109375" style="247" bestFit="1" customWidth="1"/>
    <col min="7190" max="7190" width="9.33203125" style="247"/>
    <col min="7191" max="7191" width="13.109375" style="247" bestFit="1" customWidth="1"/>
    <col min="7192" max="7192" width="12" style="247" bestFit="1" customWidth="1"/>
    <col min="7193" max="7424" width="9.33203125" style="247"/>
    <col min="7425" max="7425" width="2" style="247" customWidth="1"/>
    <col min="7426" max="7426" width="5.44140625" style="247" customWidth="1"/>
    <col min="7427" max="7427" width="9.109375" style="247" customWidth="1"/>
    <col min="7428" max="7428" width="3.44140625" style="247" customWidth="1"/>
    <col min="7429" max="7429" width="14.33203125" style="247" customWidth="1"/>
    <col min="7430" max="7435" width="9.109375" style="247" customWidth="1"/>
    <col min="7436" max="7436" width="0.109375" style="247" customWidth="1"/>
    <col min="7437" max="7437" width="8" style="247" customWidth="1"/>
    <col min="7438" max="7438" width="4.44140625" style="247" customWidth="1"/>
    <col min="7439" max="7439" width="10" style="247" customWidth="1"/>
    <col min="7440" max="7442" width="0" style="247" hidden="1" customWidth="1"/>
    <col min="7443" max="7443" width="13" style="247" bestFit="1" customWidth="1"/>
    <col min="7444" max="7445" width="13.109375" style="247" bestFit="1" customWidth="1"/>
    <col min="7446" max="7446" width="9.33203125" style="247"/>
    <col min="7447" max="7447" width="13.109375" style="247" bestFit="1" customWidth="1"/>
    <col min="7448" max="7448" width="12" style="247" bestFit="1" customWidth="1"/>
    <col min="7449" max="7680" width="9.33203125" style="247"/>
    <col min="7681" max="7681" width="2" style="247" customWidth="1"/>
    <col min="7682" max="7682" width="5.44140625" style="247" customWidth="1"/>
    <col min="7683" max="7683" width="9.109375" style="247" customWidth="1"/>
    <col min="7684" max="7684" width="3.44140625" style="247" customWidth="1"/>
    <col min="7685" max="7685" width="14.33203125" style="247" customWidth="1"/>
    <col min="7686" max="7691" width="9.109375" style="247" customWidth="1"/>
    <col min="7692" max="7692" width="0.109375" style="247" customWidth="1"/>
    <col min="7693" max="7693" width="8" style="247" customWidth="1"/>
    <col min="7694" max="7694" width="4.44140625" style="247" customWidth="1"/>
    <col min="7695" max="7695" width="10" style="247" customWidth="1"/>
    <col min="7696" max="7698" width="0" style="247" hidden="1" customWidth="1"/>
    <col min="7699" max="7699" width="13" style="247" bestFit="1" customWidth="1"/>
    <col min="7700" max="7701" width="13.109375" style="247" bestFit="1" customWidth="1"/>
    <col min="7702" max="7702" width="9.33203125" style="247"/>
    <col min="7703" max="7703" width="13.109375" style="247" bestFit="1" customWidth="1"/>
    <col min="7704" max="7704" width="12" style="247" bestFit="1" customWidth="1"/>
    <col min="7705" max="7936" width="9.33203125" style="247"/>
    <col min="7937" max="7937" width="2" style="247" customWidth="1"/>
    <col min="7938" max="7938" width="5.44140625" style="247" customWidth="1"/>
    <col min="7939" max="7939" width="9.109375" style="247" customWidth="1"/>
    <col min="7940" max="7940" width="3.44140625" style="247" customWidth="1"/>
    <col min="7941" max="7941" width="14.33203125" style="247" customWidth="1"/>
    <col min="7942" max="7947" width="9.109375" style="247" customWidth="1"/>
    <col min="7948" max="7948" width="0.109375" style="247" customWidth="1"/>
    <col min="7949" max="7949" width="8" style="247" customWidth="1"/>
    <col min="7950" max="7950" width="4.44140625" style="247" customWidth="1"/>
    <col min="7951" max="7951" width="10" style="247" customWidth="1"/>
    <col min="7952" max="7954" width="0" style="247" hidden="1" customWidth="1"/>
    <col min="7955" max="7955" width="13" style="247" bestFit="1" customWidth="1"/>
    <col min="7956" max="7957" width="13.109375" style="247" bestFit="1" customWidth="1"/>
    <col min="7958" max="7958" width="9.33203125" style="247"/>
    <col min="7959" max="7959" width="13.109375" style="247" bestFit="1" customWidth="1"/>
    <col min="7960" max="7960" width="12" style="247" bestFit="1" customWidth="1"/>
    <col min="7961" max="8192" width="9.33203125" style="247"/>
    <col min="8193" max="8193" width="2" style="247" customWidth="1"/>
    <col min="8194" max="8194" width="5.44140625" style="247" customWidth="1"/>
    <col min="8195" max="8195" width="9.109375" style="247" customWidth="1"/>
    <col min="8196" max="8196" width="3.44140625" style="247" customWidth="1"/>
    <col min="8197" max="8197" width="14.33203125" style="247" customWidth="1"/>
    <col min="8198" max="8203" width="9.109375" style="247" customWidth="1"/>
    <col min="8204" max="8204" width="0.109375" style="247" customWidth="1"/>
    <col min="8205" max="8205" width="8" style="247" customWidth="1"/>
    <col min="8206" max="8206" width="4.44140625" style="247" customWidth="1"/>
    <col min="8207" max="8207" width="10" style="247" customWidth="1"/>
    <col min="8208" max="8210" width="0" style="247" hidden="1" customWidth="1"/>
    <col min="8211" max="8211" width="13" style="247" bestFit="1" customWidth="1"/>
    <col min="8212" max="8213" width="13.109375" style="247" bestFit="1" customWidth="1"/>
    <col min="8214" max="8214" width="9.33203125" style="247"/>
    <col min="8215" max="8215" width="13.109375" style="247" bestFit="1" customWidth="1"/>
    <col min="8216" max="8216" width="12" style="247" bestFit="1" customWidth="1"/>
    <col min="8217" max="8448" width="9.33203125" style="247"/>
    <col min="8449" max="8449" width="2" style="247" customWidth="1"/>
    <col min="8450" max="8450" width="5.44140625" style="247" customWidth="1"/>
    <col min="8451" max="8451" width="9.109375" style="247" customWidth="1"/>
    <col min="8452" max="8452" width="3.44140625" style="247" customWidth="1"/>
    <col min="8453" max="8453" width="14.33203125" style="247" customWidth="1"/>
    <col min="8454" max="8459" width="9.109375" style="247" customWidth="1"/>
    <col min="8460" max="8460" width="0.109375" style="247" customWidth="1"/>
    <col min="8461" max="8461" width="8" style="247" customWidth="1"/>
    <col min="8462" max="8462" width="4.44140625" style="247" customWidth="1"/>
    <col min="8463" max="8463" width="10" style="247" customWidth="1"/>
    <col min="8464" max="8466" width="0" style="247" hidden="1" customWidth="1"/>
    <col min="8467" max="8467" width="13" style="247" bestFit="1" customWidth="1"/>
    <col min="8468" max="8469" width="13.109375" style="247" bestFit="1" customWidth="1"/>
    <col min="8470" max="8470" width="9.33203125" style="247"/>
    <col min="8471" max="8471" width="13.109375" style="247" bestFit="1" customWidth="1"/>
    <col min="8472" max="8472" width="12" style="247" bestFit="1" customWidth="1"/>
    <col min="8473" max="8704" width="9.33203125" style="247"/>
    <col min="8705" max="8705" width="2" style="247" customWidth="1"/>
    <col min="8706" max="8706" width="5.44140625" style="247" customWidth="1"/>
    <col min="8707" max="8707" width="9.109375" style="247" customWidth="1"/>
    <col min="8708" max="8708" width="3.44140625" style="247" customWidth="1"/>
    <col min="8709" max="8709" width="14.33203125" style="247" customWidth="1"/>
    <col min="8710" max="8715" width="9.109375" style="247" customWidth="1"/>
    <col min="8716" max="8716" width="0.109375" style="247" customWidth="1"/>
    <col min="8717" max="8717" width="8" style="247" customWidth="1"/>
    <col min="8718" max="8718" width="4.44140625" style="247" customWidth="1"/>
    <col min="8719" max="8719" width="10" style="247" customWidth="1"/>
    <col min="8720" max="8722" width="0" style="247" hidden="1" customWidth="1"/>
    <col min="8723" max="8723" width="13" style="247" bestFit="1" customWidth="1"/>
    <col min="8724" max="8725" width="13.109375" style="247" bestFit="1" customWidth="1"/>
    <col min="8726" max="8726" width="9.33203125" style="247"/>
    <col min="8727" max="8727" width="13.109375" style="247" bestFit="1" customWidth="1"/>
    <col min="8728" max="8728" width="12" style="247" bestFit="1" customWidth="1"/>
    <col min="8729" max="8960" width="9.33203125" style="247"/>
    <col min="8961" max="8961" width="2" style="247" customWidth="1"/>
    <col min="8962" max="8962" width="5.44140625" style="247" customWidth="1"/>
    <col min="8963" max="8963" width="9.109375" style="247" customWidth="1"/>
    <col min="8964" max="8964" width="3.44140625" style="247" customWidth="1"/>
    <col min="8965" max="8965" width="14.33203125" style="247" customWidth="1"/>
    <col min="8966" max="8971" width="9.109375" style="247" customWidth="1"/>
    <col min="8972" max="8972" width="0.109375" style="247" customWidth="1"/>
    <col min="8973" max="8973" width="8" style="247" customWidth="1"/>
    <col min="8974" max="8974" width="4.44140625" style="247" customWidth="1"/>
    <col min="8975" max="8975" width="10" style="247" customWidth="1"/>
    <col min="8976" max="8978" width="0" style="247" hidden="1" customWidth="1"/>
    <col min="8979" max="8979" width="13" style="247" bestFit="1" customWidth="1"/>
    <col min="8980" max="8981" width="13.109375" style="247" bestFit="1" customWidth="1"/>
    <col min="8982" max="8982" width="9.33203125" style="247"/>
    <col min="8983" max="8983" width="13.109375" style="247" bestFit="1" customWidth="1"/>
    <col min="8984" max="8984" width="12" style="247" bestFit="1" customWidth="1"/>
    <col min="8985" max="9216" width="9.33203125" style="247"/>
    <col min="9217" max="9217" width="2" style="247" customWidth="1"/>
    <col min="9218" max="9218" width="5.44140625" style="247" customWidth="1"/>
    <col min="9219" max="9219" width="9.109375" style="247" customWidth="1"/>
    <col min="9220" max="9220" width="3.44140625" style="247" customWidth="1"/>
    <col min="9221" max="9221" width="14.33203125" style="247" customWidth="1"/>
    <col min="9222" max="9227" width="9.109375" style="247" customWidth="1"/>
    <col min="9228" max="9228" width="0.109375" style="247" customWidth="1"/>
    <col min="9229" max="9229" width="8" style="247" customWidth="1"/>
    <col min="9230" max="9230" width="4.44140625" style="247" customWidth="1"/>
    <col min="9231" max="9231" width="10" style="247" customWidth="1"/>
    <col min="9232" max="9234" width="0" style="247" hidden="1" customWidth="1"/>
    <col min="9235" max="9235" width="13" style="247" bestFit="1" customWidth="1"/>
    <col min="9236" max="9237" width="13.109375" style="247" bestFit="1" customWidth="1"/>
    <col min="9238" max="9238" width="9.33203125" style="247"/>
    <col min="9239" max="9239" width="13.109375" style="247" bestFit="1" customWidth="1"/>
    <col min="9240" max="9240" width="12" style="247" bestFit="1" customWidth="1"/>
    <col min="9241" max="9472" width="9.33203125" style="247"/>
    <col min="9473" max="9473" width="2" style="247" customWidth="1"/>
    <col min="9474" max="9474" width="5.44140625" style="247" customWidth="1"/>
    <col min="9475" max="9475" width="9.109375" style="247" customWidth="1"/>
    <col min="9476" max="9476" width="3.44140625" style="247" customWidth="1"/>
    <col min="9477" max="9477" width="14.33203125" style="247" customWidth="1"/>
    <col min="9478" max="9483" width="9.109375" style="247" customWidth="1"/>
    <col min="9484" max="9484" width="0.109375" style="247" customWidth="1"/>
    <col min="9485" max="9485" width="8" style="247" customWidth="1"/>
    <col min="9486" max="9486" width="4.44140625" style="247" customWidth="1"/>
    <col min="9487" max="9487" width="10" style="247" customWidth="1"/>
    <col min="9488" max="9490" width="0" style="247" hidden="1" customWidth="1"/>
    <col min="9491" max="9491" width="13" style="247" bestFit="1" customWidth="1"/>
    <col min="9492" max="9493" width="13.109375" style="247" bestFit="1" customWidth="1"/>
    <col min="9494" max="9494" width="9.33203125" style="247"/>
    <col min="9495" max="9495" width="13.109375" style="247" bestFit="1" customWidth="1"/>
    <col min="9496" max="9496" width="12" style="247" bestFit="1" customWidth="1"/>
    <col min="9497" max="9728" width="9.33203125" style="247"/>
    <col min="9729" max="9729" width="2" style="247" customWidth="1"/>
    <col min="9730" max="9730" width="5.44140625" style="247" customWidth="1"/>
    <col min="9731" max="9731" width="9.109375" style="247" customWidth="1"/>
    <col min="9732" max="9732" width="3.44140625" style="247" customWidth="1"/>
    <col min="9733" max="9733" width="14.33203125" style="247" customWidth="1"/>
    <col min="9734" max="9739" width="9.109375" style="247" customWidth="1"/>
    <col min="9740" max="9740" width="0.109375" style="247" customWidth="1"/>
    <col min="9741" max="9741" width="8" style="247" customWidth="1"/>
    <col min="9742" max="9742" width="4.44140625" style="247" customWidth="1"/>
    <col min="9743" max="9743" width="10" style="247" customWidth="1"/>
    <col min="9744" max="9746" width="0" style="247" hidden="1" customWidth="1"/>
    <col min="9747" max="9747" width="13" style="247" bestFit="1" customWidth="1"/>
    <col min="9748" max="9749" width="13.109375" style="247" bestFit="1" customWidth="1"/>
    <col min="9750" max="9750" width="9.33203125" style="247"/>
    <col min="9751" max="9751" width="13.109375" style="247" bestFit="1" customWidth="1"/>
    <col min="9752" max="9752" width="12" style="247" bestFit="1" customWidth="1"/>
    <col min="9753" max="9984" width="9.33203125" style="247"/>
    <col min="9985" max="9985" width="2" style="247" customWidth="1"/>
    <col min="9986" max="9986" width="5.44140625" style="247" customWidth="1"/>
    <col min="9987" max="9987" width="9.109375" style="247" customWidth="1"/>
    <col min="9988" max="9988" width="3.44140625" style="247" customWidth="1"/>
    <col min="9989" max="9989" width="14.33203125" style="247" customWidth="1"/>
    <col min="9990" max="9995" width="9.109375" style="247" customWidth="1"/>
    <col min="9996" max="9996" width="0.109375" style="247" customWidth="1"/>
    <col min="9997" max="9997" width="8" style="247" customWidth="1"/>
    <col min="9998" max="9998" width="4.44140625" style="247" customWidth="1"/>
    <col min="9999" max="9999" width="10" style="247" customWidth="1"/>
    <col min="10000" max="10002" width="0" style="247" hidden="1" customWidth="1"/>
    <col min="10003" max="10003" width="13" style="247" bestFit="1" customWidth="1"/>
    <col min="10004" max="10005" width="13.109375" style="247" bestFit="1" customWidth="1"/>
    <col min="10006" max="10006" width="9.33203125" style="247"/>
    <col min="10007" max="10007" width="13.109375" style="247" bestFit="1" customWidth="1"/>
    <col min="10008" max="10008" width="12" style="247" bestFit="1" customWidth="1"/>
    <col min="10009" max="10240" width="9.33203125" style="247"/>
    <col min="10241" max="10241" width="2" style="247" customWidth="1"/>
    <col min="10242" max="10242" width="5.44140625" style="247" customWidth="1"/>
    <col min="10243" max="10243" width="9.109375" style="247" customWidth="1"/>
    <col min="10244" max="10244" width="3.44140625" style="247" customWidth="1"/>
    <col min="10245" max="10245" width="14.33203125" style="247" customWidth="1"/>
    <col min="10246" max="10251" width="9.109375" style="247" customWidth="1"/>
    <col min="10252" max="10252" width="0.109375" style="247" customWidth="1"/>
    <col min="10253" max="10253" width="8" style="247" customWidth="1"/>
    <col min="10254" max="10254" width="4.44140625" style="247" customWidth="1"/>
    <col min="10255" max="10255" width="10" style="247" customWidth="1"/>
    <col min="10256" max="10258" width="0" style="247" hidden="1" customWidth="1"/>
    <col min="10259" max="10259" width="13" style="247" bestFit="1" customWidth="1"/>
    <col min="10260" max="10261" width="13.109375" style="247" bestFit="1" customWidth="1"/>
    <col min="10262" max="10262" width="9.33203125" style="247"/>
    <col min="10263" max="10263" width="13.109375" style="247" bestFit="1" customWidth="1"/>
    <col min="10264" max="10264" width="12" style="247" bestFit="1" customWidth="1"/>
    <col min="10265" max="10496" width="9.33203125" style="247"/>
    <col min="10497" max="10497" width="2" style="247" customWidth="1"/>
    <col min="10498" max="10498" width="5.44140625" style="247" customWidth="1"/>
    <col min="10499" max="10499" width="9.109375" style="247" customWidth="1"/>
    <col min="10500" max="10500" width="3.44140625" style="247" customWidth="1"/>
    <col min="10501" max="10501" width="14.33203125" style="247" customWidth="1"/>
    <col min="10502" max="10507" width="9.109375" style="247" customWidth="1"/>
    <col min="10508" max="10508" width="0.109375" style="247" customWidth="1"/>
    <col min="10509" max="10509" width="8" style="247" customWidth="1"/>
    <col min="10510" max="10510" width="4.44140625" style="247" customWidth="1"/>
    <col min="10511" max="10511" width="10" style="247" customWidth="1"/>
    <col min="10512" max="10514" width="0" style="247" hidden="1" customWidth="1"/>
    <col min="10515" max="10515" width="13" style="247" bestFit="1" customWidth="1"/>
    <col min="10516" max="10517" width="13.109375" style="247" bestFit="1" customWidth="1"/>
    <col min="10518" max="10518" width="9.33203125" style="247"/>
    <col min="10519" max="10519" width="13.109375" style="247" bestFit="1" customWidth="1"/>
    <col min="10520" max="10520" width="12" style="247" bestFit="1" customWidth="1"/>
    <col min="10521" max="10752" width="9.33203125" style="247"/>
    <col min="10753" max="10753" width="2" style="247" customWidth="1"/>
    <col min="10754" max="10754" width="5.44140625" style="247" customWidth="1"/>
    <col min="10755" max="10755" width="9.109375" style="247" customWidth="1"/>
    <col min="10756" max="10756" width="3.44140625" style="247" customWidth="1"/>
    <col min="10757" max="10757" width="14.33203125" style="247" customWidth="1"/>
    <col min="10758" max="10763" width="9.109375" style="247" customWidth="1"/>
    <col min="10764" max="10764" width="0.109375" style="247" customWidth="1"/>
    <col min="10765" max="10765" width="8" style="247" customWidth="1"/>
    <col min="10766" max="10766" width="4.44140625" style="247" customWidth="1"/>
    <col min="10767" max="10767" width="10" style="247" customWidth="1"/>
    <col min="10768" max="10770" width="0" style="247" hidden="1" customWidth="1"/>
    <col min="10771" max="10771" width="13" style="247" bestFit="1" customWidth="1"/>
    <col min="10772" max="10773" width="13.109375" style="247" bestFit="1" customWidth="1"/>
    <col min="10774" max="10774" width="9.33203125" style="247"/>
    <col min="10775" max="10775" width="13.109375" style="247" bestFit="1" customWidth="1"/>
    <col min="10776" max="10776" width="12" style="247" bestFit="1" customWidth="1"/>
    <col min="10777" max="11008" width="9.33203125" style="247"/>
    <col min="11009" max="11009" width="2" style="247" customWidth="1"/>
    <col min="11010" max="11010" width="5.44140625" style="247" customWidth="1"/>
    <col min="11011" max="11011" width="9.109375" style="247" customWidth="1"/>
    <col min="11012" max="11012" width="3.44140625" style="247" customWidth="1"/>
    <col min="11013" max="11013" width="14.33203125" style="247" customWidth="1"/>
    <col min="11014" max="11019" width="9.109375" style="247" customWidth="1"/>
    <col min="11020" max="11020" width="0.109375" style="247" customWidth="1"/>
    <col min="11021" max="11021" width="8" style="247" customWidth="1"/>
    <col min="11022" max="11022" width="4.44140625" style="247" customWidth="1"/>
    <col min="11023" max="11023" width="10" style="247" customWidth="1"/>
    <col min="11024" max="11026" width="0" style="247" hidden="1" customWidth="1"/>
    <col min="11027" max="11027" width="13" style="247" bestFit="1" customWidth="1"/>
    <col min="11028" max="11029" width="13.109375" style="247" bestFit="1" customWidth="1"/>
    <col min="11030" max="11030" width="9.33203125" style="247"/>
    <col min="11031" max="11031" width="13.109375" style="247" bestFit="1" customWidth="1"/>
    <col min="11032" max="11032" width="12" style="247" bestFit="1" customWidth="1"/>
    <col min="11033" max="11264" width="9.33203125" style="247"/>
    <col min="11265" max="11265" width="2" style="247" customWidth="1"/>
    <col min="11266" max="11266" width="5.44140625" style="247" customWidth="1"/>
    <col min="11267" max="11267" width="9.109375" style="247" customWidth="1"/>
    <col min="11268" max="11268" width="3.44140625" style="247" customWidth="1"/>
    <col min="11269" max="11269" width="14.33203125" style="247" customWidth="1"/>
    <col min="11270" max="11275" width="9.109375" style="247" customWidth="1"/>
    <col min="11276" max="11276" width="0.109375" style="247" customWidth="1"/>
    <col min="11277" max="11277" width="8" style="247" customWidth="1"/>
    <col min="11278" max="11278" width="4.44140625" style="247" customWidth="1"/>
    <col min="11279" max="11279" width="10" style="247" customWidth="1"/>
    <col min="11280" max="11282" width="0" style="247" hidden="1" customWidth="1"/>
    <col min="11283" max="11283" width="13" style="247" bestFit="1" customWidth="1"/>
    <col min="11284" max="11285" width="13.109375" style="247" bestFit="1" customWidth="1"/>
    <col min="11286" max="11286" width="9.33203125" style="247"/>
    <col min="11287" max="11287" width="13.109375" style="247" bestFit="1" customWidth="1"/>
    <col min="11288" max="11288" width="12" style="247" bestFit="1" customWidth="1"/>
    <col min="11289" max="11520" width="9.33203125" style="247"/>
    <col min="11521" max="11521" width="2" style="247" customWidth="1"/>
    <col min="11522" max="11522" width="5.44140625" style="247" customWidth="1"/>
    <col min="11523" max="11523" width="9.109375" style="247" customWidth="1"/>
    <col min="11524" max="11524" width="3.44140625" style="247" customWidth="1"/>
    <col min="11525" max="11525" width="14.33203125" style="247" customWidth="1"/>
    <col min="11526" max="11531" width="9.109375" style="247" customWidth="1"/>
    <col min="11532" max="11532" width="0.109375" style="247" customWidth="1"/>
    <col min="11533" max="11533" width="8" style="247" customWidth="1"/>
    <col min="11534" max="11534" width="4.44140625" style="247" customWidth="1"/>
    <col min="11535" max="11535" width="10" style="247" customWidth="1"/>
    <col min="11536" max="11538" width="0" style="247" hidden="1" customWidth="1"/>
    <col min="11539" max="11539" width="13" style="247" bestFit="1" customWidth="1"/>
    <col min="11540" max="11541" width="13.109375" style="247" bestFit="1" customWidth="1"/>
    <col min="11542" max="11542" width="9.33203125" style="247"/>
    <col min="11543" max="11543" width="13.109375" style="247" bestFit="1" customWidth="1"/>
    <col min="11544" max="11544" width="12" style="247" bestFit="1" customWidth="1"/>
    <col min="11545" max="11776" width="9.33203125" style="247"/>
    <col min="11777" max="11777" width="2" style="247" customWidth="1"/>
    <col min="11778" max="11778" width="5.44140625" style="247" customWidth="1"/>
    <col min="11779" max="11779" width="9.109375" style="247" customWidth="1"/>
    <col min="11780" max="11780" width="3.44140625" style="247" customWidth="1"/>
    <col min="11781" max="11781" width="14.33203125" style="247" customWidth="1"/>
    <col min="11782" max="11787" width="9.109375" style="247" customWidth="1"/>
    <col min="11788" max="11788" width="0.109375" style="247" customWidth="1"/>
    <col min="11789" max="11789" width="8" style="247" customWidth="1"/>
    <col min="11790" max="11790" width="4.44140625" style="247" customWidth="1"/>
    <col min="11791" max="11791" width="10" style="247" customWidth="1"/>
    <col min="11792" max="11794" width="0" style="247" hidden="1" customWidth="1"/>
    <col min="11795" max="11795" width="13" style="247" bestFit="1" customWidth="1"/>
    <col min="11796" max="11797" width="13.109375" style="247" bestFit="1" customWidth="1"/>
    <col min="11798" max="11798" width="9.33203125" style="247"/>
    <col min="11799" max="11799" width="13.109375" style="247" bestFit="1" customWidth="1"/>
    <col min="11800" max="11800" width="12" style="247" bestFit="1" customWidth="1"/>
    <col min="11801" max="12032" width="9.33203125" style="247"/>
    <col min="12033" max="12033" width="2" style="247" customWidth="1"/>
    <col min="12034" max="12034" width="5.44140625" style="247" customWidth="1"/>
    <col min="12035" max="12035" width="9.109375" style="247" customWidth="1"/>
    <col min="12036" max="12036" width="3.44140625" style="247" customWidth="1"/>
    <col min="12037" max="12037" width="14.33203125" style="247" customWidth="1"/>
    <col min="12038" max="12043" width="9.109375" style="247" customWidth="1"/>
    <col min="12044" max="12044" width="0.109375" style="247" customWidth="1"/>
    <col min="12045" max="12045" width="8" style="247" customWidth="1"/>
    <col min="12046" max="12046" width="4.44140625" style="247" customWidth="1"/>
    <col min="12047" max="12047" width="10" style="247" customWidth="1"/>
    <col min="12048" max="12050" width="0" style="247" hidden="1" customWidth="1"/>
    <col min="12051" max="12051" width="13" style="247" bestFit="1" customWidth="1"/>
    <col min="12052" max="12053" width="13.109375" style="247" bestFit="1" customWidth="1"/>
    <col min="12054" max="12054" width="9.33203125" style="247"/>
    <col min="12055" max="12055" width="13.109375" style="247" bestFit="1" customWidth="1"/>
    <col min="12056" max="12056" width="12" style="247" bestFit="1" customWidth="1"/>
    <col min="12057" max="12288" width="9.33203125" style="247"/>
    <col min="12289" max="12289" width="2" style="247" customWidth="1"/>
    <col min="12290" max="12290" width="5.44140625" style="247" customWidth="1"/>
    <col min="12291" max="12291" width="9.109375" style="247" customWidth="1"/>
    <col min="12292" max="12292" width="3.44140625" style="247" customWidth="1"/>
    <col min="12293" max="12293" width="14.33203125" style="247" customWidth="1"/>
    <col min="12294" max="12299" width="9.109375" style="247" customWidth="1"/>
    <col min="12300" max="12300" width="0.109375" style="247" customWidth="1"/>
    <col min="12301" max="12301" width="8" style="247" customWidth="1"/>
    <col min="12302" max="12302" width="4.44140625" style="247" customWidth="1"/>
    <col min="12303" max="12303" width="10" style="247" customWidth="1"/>
    <col min="12304" max="12306" width="0" style="247" hidden="1" customWidth="1"/>
    <col min="12307" max="12307" width="13" style="247" bestFit="1" customWidth="1"/>
    <col min="12308" max="12309" width="13.109375" style="247" bestFit="1" customWidth="1"/>
    <col min="12310" max="12310" width="9.33203125" style="247"/>
    <col min="12311" max="12311" width="13.109375" style="247" bestFit="1" customWidth="1"/>
    <col min="12312" max="12312" width="12" style="247" bestFit="1" customWidth="1"/>
    <col min="12313" max="12544" width="9.33203125" style="247"/>
    <col min="12545" max="12545" width="2" style="247" customWidth="1"/>
    <col min="12546" max="12546" width="5.44140625" style="247" customWidth="1"/>
    <col min="12547" max="12547" width="9.109375" style="247" customWidth="1"/>
    <col min="12548" max="12548" width="3.44140625" style="247" customWidth="1"/>
    <col min="12549" max="12549" width="14.33203125" style="247" customWidth="1"/>
    <col min="12550" max="12555" width="9.109375" style="247" customWidth="1"/>
    <col min="12556" max="12556" width="0.109375" style="247" customWidth="1"/>
    <col min="12557" max="12557" width="8" style="247" customWidth="1"/>
    <col min="12558" max="12558" width="4.44140625" style="247" customWidth="1"/>
    <col min="12559" max="12559" width="10" style="247" customWidth="1"/>
    <col min="12560" max="12562" width="0" style="247" hidden="1" customWidth="1"/>
    <col min="12563" max="12563" width="13" style="247" bestFit="1" customWidth="1"/>
    <col min="12564" max="12565" width="13.109375" style="247" bestFit="1" customWidth="1"/>
    <col min="12566" max="12566" width="9.33203125" style="247"/>
    <col min="12567" max="12567" width="13.109375" style="247" bestFit="1" customWidth="1"/>
    <col min="12568" max="12568" width="12" style="247" bestFit="1" customWidth="1"/>
    <col min="12569" max="12800" width="9.33203125" style="247"/>
    <col min="12801" max="12801" width="2" style="247" customWidth="1"/>
    <col min="12802" max="12802" width="5.44140625" style="247" customWidth="1"/>
    <col min="12803" max="12803" width="9.109375" style="247" customWidth="1"/>
    <col min="12804" max="12804" width="3.44140625" style="247" customWidth="1"/>
    <col min="12805" max="12805" width="14.33203125" style="247" customWidth="1"/>
    <col min="12806" max="12811" width="9.109375" style="247" customWidth="1"/>
    <col min="12812" max="12812" width="0.109375" style="247" customWidth="1"/>
    <col min="12813" max="12813" width="8" style="247" customWidth="1"/>
    <col min="12814" max="12814" width="4.44140625" style="247" customWidth="1"/>
    <col min="12815" max="12815" width="10" style="247" customWidth="1"/>
    <col min="12816" max="12818" width="0" style="247" hidden="1" customWidth="1"/>
    <col min="12819" max="12819" width="13" style="247" bestFit="1" customWidth="1"/>
    <col min="12820" max="12821" width="13.109375" style="247" bestFit="1" customWidth="1"/>
    <col min="12822" max="12822" width="9.33203125" style="247"/>
    <col min="12823" max="12823" width="13.109375" style="247" bestFit="1" customWidth="1"/>
    <col min="12824" max="12824" width="12" style="247" bestFit="1" customWidth="1"/>
    <col min="12825" max="13056" width="9.33203125" style="247"/>
    <col min="13057" max="13057" width="2" style="247" customWidth="1"/>
    <col min="13058" max="13058" width="5.44140625" style="247" customWidth="1"/>
    <col min="13059" max="13059" width="9.109375" style="247" customWidth="1"/>
    <col min="13060" max="13060" width="3.44140625" style="247" customWidth="1"/>
    <col min="13061" max="13061" width="14.33203125" style="247" customWidth="1"/>
    <col min="13062" max="13067" width="9.109375" style="247" customWidth="1"/>
    <col min="13068" max="13068" width="0.109375" style="247" customWidth="1"/>
    <col min="13069" max="13069" width="8" style="247" customWidth="1"/>
    <col min="13070" max="13070" width="4.44140625" style="247" customWidth="1"/>
    <col min="13071" max="13071" width="10" style="247" customWidth="1"/>
    <col min="13072" max="13074" width="0" style="247" hidden="1" customWidth="1"/>
    <col min="13075" max="13075" width="13" style="247" bestFit="1" customWidth="1"/>
    <col min="13076" max="13077" width="13.109375" style="247" bestFit="1" customWidth="1"/>
    <col min="13078" max="13078" width="9.33203125" style="247"/>
    <col min="13079" max="13079" width="13.109375" style="247" bestFit="1" customWidth="1"/>
    <col min="13080" max="13080" width="12" style="247" bestFit="1" customWidth="1"/>
    <col min="13081" max="13312" width="9.33203125" style="247"/>
    <col min="13313" max="13313" width="2" style="247" customWidth="1"/>
    <col min="13314" max="13314" width="5.44140625" style="247" customWidth="1"/>
    <col min="13315" max="13315" width="9.109375" style="247" customWidth="1"/>
    <col min="13316" max="13316" width="3.44140625" style="247" customWidth="1"/>
    <col min="13317" max="13317" width="14.33203125" style="247" customWidth="1"/>
    <col min="13318" max="13323" width="9.109375" style="247" customWidth="1"/>
    <col min="13324" max="13324" width="0.109375" style="247" customWidth="1"/>
    <col min="13325" max="13325" width="8" style="247" customWidth="1"/>
    <col min="13326" max="13326" width="4.44140625" style="247" customWidth="1"/>
    <col min="13327" max="13327" width="10" style="247" customWidth="1"/>
    <col min="13328" max="13330" width="0" style="247" hidden="1" customWidth="1"/>
    <col min="13331" max="13331" width="13" style="247" bestFit="1" customWidth="1"/>
    <col min="13332" max="13333" width="13.109375" style="247" bestFit="1" customWidth="1"/>
    <col min="13334" max="13334" width="9.33203125" style="247"/>
    <col min="13335" max="13335" width="13.109375" style="247" bestFit="1" customWidth="1"/>
    <col min="13336" max="13336" width="12" style="247" bestFit="1" customWidth="1"/>
    <col min="13337" max="13568" width="9.33203125" style="247"/>
    <col min="13569" max="13569" width="2" style="247" customWidth="1"/>
    <col min="13570" max="13570" width="5.44140625" style="247" customWidth="1"/>
    <col min="13571" max="13571" width="9.109375" style="247" customWidth="1"/>
    <col min="13572" max="13572" width="3.44140625" style="247" customWidth="1"/>
    <col min="13573" max="13573" width="14.33203125" style="247" customWidth="1"/>
    <col min="13574" max="13579" width="9.109375" style="247" customWidth="1"/>
    <col min="13580" max="13580" width="0.109375" style="247" customWidth="1"/>
    <col min="13581" max="13581" width="8" style="247" customWidth="1"/>
    <col min="13582" max="13582" width="4.44140625" style="247" customWidth="1"/>
    <col min="13583" max="13583" width="10" style="247" customWidth="1"/>
    <col min="13584" max="13586" width="0" style="247" hidden="1" customWidth="1"/>
    <col min="13587" max="13587" width="13" style="247" bestFit="1" customWidth="1"/>
    <col min="13588" max="13589" width="13.109375" style="247" bestFit="1" customWidth="1"/>
    <col min="13590" max="13590" width="9.33203125" style="247"/>
    <col min="13591" max="13591" width="13.109375" style="247" bestFit="1" customWidth="1"/>
    <col min="13592" max="13592" width="12" style="247" bestFit="1" customWidth="1"/>
    <col min="13593" max="13824" width="9.33203125" style="247"/>
    <col min="13825" max="13825" width="2" style="247" customWidth="1"/>
    <col min="13826" max="13826" width="5.44140625" style="247" customWidth="1"/>
    <col min="13827" max="13827" width="9.109375" style="247" customWidth="1"/>
    <col min="13828" max="13828" width="3.44140625" style="247" customWidth="1"/>
    <col min="13829" max="13829" width="14.33203125" style="247" customWidth="1"/>
    <col min="13830" max="13835" width="9.109375" style="247" customWidth="1"/>
    <col min="13836" max="13836" width="0.109375" style="247" customWidth="1"/>
    <col min="13837" max="13837" width="8" style="247" customWidth="1"/>
    <col min="13838" max="13838" width="4.44140625" style="247" customWidth="1"/>
    <col min="13839" max="13839" width="10" style="247" customWidth="1"/>
    <col min="13840" max="13842" width="0" style="247" hidden="1" customWidth="1"/>
    <col min="13843" max="13843" width="13" style="247" bestFit="1" customWidth="1"/>
    <col min="13844" max="13845" width="13.109375" style="247" bestFit="1" customWidth="1"/>
    <col min="13846" max="13846" width="9.33203125" style="247"/>
    <col min="13847" max="13847" width="13.109375" style="247" bestFit="1" customWidth="1"/>
    <col min="13848" max="13848" width="12" style="247" bestFit="1" customWidth="1"/>
    <col min="13849" max="14080" width="9.33203125" style="247"/>
    <col min="14081" max="14081" width="2" style="247" customWidth="1"/>
    <col min="14082" max="14082" width="5.44140625" style="247" customWidth="1"/>
    <col min="14083" max="14083" width="9.109375" style="247" customWidth="1"/>
    <col min="14084" max="14084" width="3.44140625" style="247" customWidth="1"/>
    <col min="14085" max="14085" width="14.33203125" style="247" customWidth="1"/>
    <col min="14086" max="14091" width="9.109375" style="247" customWidth="1"/>
    <col min="14092" max="14092" width="0.109375" style="247" customWidth="1"/>
    <col min="14093" max="14093" width="8" style="247" customWidth="1"/>
    <col min="14094" max="14094" width="4.44140625" style="247" customWidth="1"/>
    <col min="14095" max="14095" width="10" style="247" customWidth="1"/>
    <col min="14096" max="14098" width="0" style="247" hidden="1" customWidth="1"/>
    <col min="14099" max="14099" width="13" style="247" bestFit="1" customWidth="1"/>
    <col min="14100" max="14101" width="13.109375" style="247" bestFit="1" customWidth="1"/>
    <col min="14102" max="14102" width="9.33203125" style="247"/>
    <col min="14103" max="14103" width="13.109375" style="247" bestFit="1" customWidth="1"/>
    <col min="14104" max="14104" width="12" style="247" bestFit="1" customWidth="1"/>
    <col min="14105" max="14336" width="9.33203125" style="247"/>
    <col min="14337" max="14337" width="2" style="247" customWidth="1"/>
    <col min="14338" max="14338" width="5.44140625" style="247" customWidth="1"/>
    <col min="14339" max="14339" width="9.109375" style="247" customWidth="1"/>
    <col min="14340" max="14340" width="3.44140625" style="247" customWidth="1"/>
    <col min="14341" max="14341" width="14.33203125" style="247" customWidth="1"/>
    <col min="14342" max="14347" width="9.109375" style="247" customWidth="1"/>
    <col min="14348" max="14348" width="0.109375" style="247" customWidth="1"/>
    <col min="14349" max="14349" width="8" style="247" customWidth="1"/>
    <col min="14350" max="14350" width="4.44140625" style="247" customWidth="1"/>
    <col min="14351" max="14351" width="10" style="247" customWidth="1"/>
    <col min="14352" max="14354" width="0" style="247" hidden="1" customWidth="1"/>
    <col min="14355" max="14355" width="13" style="247" bestFit="1" customWidth="1"/>
    <col min="14356" max="14357" width="13.109375" style="247" bestFit="1" customWidth="1"/>
    <col min="14358" max="14358" width="9.33203125" style="247"/>
    <col min="14359" max="14359" width="13.109375" style="247" bestFit="1" customWidth="1"/>
    <col min="14360" max="14360" width="12" style="247" bestFit="1" customWidth="1"/>
    <col min="14361" max="14592" width="9.33203125" style="247"/>
    <col min="14593" max="14593" width="2" style="247" customWidth="1"/>
    <col min="14594" max="14594" width="5.44140625" style="247" customWidth="1"/>
    <col min="14595" max="14595" width="9.109375" style="247" customWidth="1"/>
    <col min="14596" max="14596" width="3.44140625" style="247" customWidth="1"/>
    <col min="14597" max="14597" width="14.33203125" style="247" customWidth="1"/>
    <col min="14598" max="14603" width="9.109375" style="247" customWidth="1"/>
    <col min="14604" max="14604" width="0.109375" style="247" customWidth="1"/>
    <col min="14605" max="14605" width="8" style="247" customWidth="1"/>
    <col min="14606" max="14606" width="4.44140625" style="247" customWidth="1"/>
    <col min="14607" max="14607" width="10" style="247" customWidth="1"/>
    <col min="14608" max="14610" width="0" style="247" hidden="1" customWidth="1"/>
    <col min="14611" max="14611" width="13" style="247" bestFit="1" customWidth="1"/>
    <col min="14612" max="14613" width="13.109375" style="247" bestFit="1" customWidth="1"/>
    <col min="14614" max="14614" width="9.33203125" style="247"/>
    <col min="14615" max="14615" width="13.109375" style="247" bestFit="1" customWidth="1"/>
    <col min="14616" max="14616" width="12" style="247" bestFit="1" customWidth="1"/>
    <col min="14617" max="14848" width="9.33203125" style="247"/>
    <col min="14849" max="14849" width="2" style="247" customWidth="1"/>
    <col min="14850" max="14850" width="5.44140625" style="247" customWidth="1"/>
    <col min="14851" max="14851" width="9.109375" style="247" customWidth="1"/>
    <col min="14852" max="14852" width="3.44140625" style="247" customWidth="1"/>
    <col min="14853" max="14853" width="14.33203125" style="247" customWidth="1"/>
    <col min="14854" max="14859" width="9.109375" style="247" customWidth="1"/>
    <col min="14860" max="14860" width="0.109375" style="247" customWidth="1"/>
    <col min="14861" max="14861" width="8" style="247" customWidth="1"/>
    <col min="14862" max="14862" width="4.44140625" style="247" customWidth="1"/>
    <col min="14863" max="14863" width="10" style="247" customWidth="1"/>
    <col min="14864" max="14866" width="0" style="247" hidden="1" customWidth="1"/>
    <col min="14867" max="14867" width="13" style="247" bestFit="1" customWidth="1"/>
    <col min="14868" max="14869" width="13.109375" style="247" bestFit="1" customWidth="1"/>
    <col min="14870" max="14870" width="9.33203125" style="247"/>
    <col min="14871" max="14871" width="13.109375" style="247" bestFit="1" customWidth="1"/>
    <col min="14872" max="14872" width="12" style="247" bestFit="1" customWidth="1"/>
    <col min="14873" max="15104" width="9.33203125" style="247"/>
    <col min="15105" max="15105" width="2" style="247" customWidth="1"/>
    <col min="15106" max="15106" width="5.44140625" style="247" customWidth="1"/>
    <col min="15107" max="15107" width="9.109375" style="247" customWidth="1"/>
    <col min="15108" max="15108" width="3.44140625" style="247" customWidth="1"/>
    <col min="15109" max="15109" width="14.33203125" style="247" customWidth="1"/>
    <col min="15110" max="15115" width="9.109375" style="247" customWidth="1"/>
    <col min="15116" max="15116" width="0.109375" style="247" customWidth="1"/>
    <col min="15117" max="15117" width="8" style="247" customWidth="1"/>
    <col min="15118" max="15118" width="4.44140625" style="247" customWidth="1"/>
    <col min="15119" max="15119" width="10" style="247" customWidth="1"/>
    <col min="15120" max="15122" width="0" style="247" hidden="1" customWidth="1"/>
    <col min="15123" max="15123" width="13" style="247" bestFit="1" customWidth="1"/>
    <col min="15124" max="15125" width="13.109375" style="247" bestFit="1" customWidth="1"/>
    <col min="15126" max="15126" width="9.33203125" style="247"/>
    <col min="15127" max="15127" width="13.109375" style="247" bestFit="1" customWidth="1"/>
    <col min="15128" max="15128" width="12" style="247" bestFit="1" customWidth="1"/>
    <col min="15129" max="15360" width="9.33203125" style="247"/>
    <col min="15361" max="15361" width="2" style="247" customWidth="1"/>
    <col min="15362" max="15362" width="5.44140625" style="247" customWidth="1"/>
    <col min="15363" max="15363" width="9.109375" style="247" customWidth="1"/>
    <col min="15364" max="15364" width="3.44140625" style="247" customWidth="1"/>
    <col min="15365" max="15365" width="14.33203125" style="247" customWidth="1"/>
    <col min="15366" max="15371" width="9.109375" style="247" customWidth="1"/>
    <col min="15372" max="15372" width="0.109375" style="247" customWidth="1"/>
    <col min="15373" max="15373" width="8" style="247" customWidth="1"/>
    <col min="15374" max="15374" width="4.44140625" style="247" customWidth="1"/>
    <col min="15375" max="15375" width="10" style="247" customWidth="1"/>
    <col min="15376" max="15378" width="0" style="247" hidden="1" customWidth="1"/>
    <col min="15379" max="15379" width="13" style="247" bestFit="1" customWidth="1"/>
    <col min="15380" max="15381" width="13.109375" style="247" bestFit="1" customWidth="1"/>
    <col min="15382" max="15382" width="9.33203125" style="247"/>
    <col min="15383" max="15383" width="13.109375" style="247" bestFit="1" customWidth="1"/>
    <col min="15384" max="15384" width="12" style="247" bestFit="1" customWidth="1"/>
    <col min="15385" max="15616" width="9.33203125" style="247"/>
    <col min="15617" max="15617" width="2" style="247" customWidth="1"/>
    <col min="15618" max="15618" width="5.44140625" style="247" customWidth="1"/>
    <col min="15619" max="15619" width="9.109375" style="247" customWidth="1"/>
    <col min="15620" max="15620" width="3.44140625" style="247" customWidth="1"/>
    <col min="15621" max="15621" width="14.33203125" style="247" customWidth="1"/>
    <col min="15622" max="15627" width="9.109375" style="247" customWidth="1"/>
    <col min="15628" max="15628" width="0.109375" style="247" customWidth="1"/>
    <col min="15629" max="15629" width="8" style="247" customWidth="1"/>
    <col min="15630" max="15630" width="4.44140625" style="247" customWidth="1"/>
    <col min="15631" max="15631" width="10" style="247" customWidth="1"/>
    <col min="15632" max="15634" width="0" style="247" hidden="1" customWidth="1"/>
    <col min="15635" max="15635" width="13" style="247" bestFit="1" customWidth="1"/>
    <col min="15636" max="15637" width="13.109375" style="247" bestFit="1" customWidth="1"/>
    <col min="15638" max="15638" width="9.33203125" style="247"/>
    <col min="15639" max="15639" width="13.109375" style="247" bestFit="1" customWidth="1"/>
    <col min="15640" max="15640" width="12" style="247" bestFit="1" customWidth="1"/>
    <col min="15641" max="15872" width="9.33203125" style="247"/>
    <col min="15873" max="15873" width="2" style="247" customWidth="1"/>
    <col min="15874" max="15874" width="5.44140625" style="247" customWidth="1"/>
    <col min="15875" max="15875" width="9.109375" style="247" customWidth="1"/>
    <col min="15876" max="15876" width="3.44140625" style="247" customWidth="1"/>
    <col min="15877" max="15877" width="14.33203125" style="247" customWidth="1"/>
    <col min="15878" max="15883" width="9.109375" style="247" customWidth="1"/>
    <col min="15884" max="15884" width="0.109375" style="247" customWidth="1"/>
    <col min="15885" max="15885" width="8" style="247" customWidth="1"/>
    <col min="15886" max="15886" width="4.44140625" style="247" customWidth="1"/>
    <col min="15887" max="15887" width="10" style="247" customWidth="1"/>
    <col min="15888" max="15890" width="0" style="247" hidden="1" customWidth="1"/>
    <col min="15891" max="15891" width="13" style="247" bestFit="1" customWidth="1"/>
    <col min="15892" max="15893" width="13.109375" style="247" bestFit="1" customWidth="1"/>
    <col min="15894" max="15894" width="9.33203125" style="247"/>
    <col min="15895" max="15895" width="13.109375" style="247" bestFit="1" customWidth="1"/>
    <col min="15896" max="15896" width="12" style="247" bestFit="1" customWidth="1"/>
    <col min="15897" max="16128" width="9.33203125" style="247"/>
    <col min="16129" max="16129" width="2" style="247" customWidth="1"/>
    <col min="16130" max="16130" width="5.44140625" style="247" customWidth="1"/>
    <col min="16131" max="16131" width="9.109375" style="247" customWidth="1"/>
    <col min="16132" max="16132" width="3.44140625" style="247" customWidth="1"/>
    <col min="16133" max="16133" width="14.33203125" style="247" customWidth="1"/>
    <col min="16134" max="16139" width="9.109375" style="247" customWidth="1"/>
    <col min="16140" max="16140" width="0.109375" style="247" customWidth="1"/>
    <col min="16141" max="16141" width="8" style="247" customWidth="1"/>
    <col min="16142" max="16142" width="4.44140625" style="247" customWidth="1"/>
    <col min="16143" max="16143" width="10" style="247" customWidth="1"/>
    <col min="16144" max="16146" width="0" style="247" hidden="1" customWidth="1"/>
    <col min="16147" max="16147" width="13" style="247" bestFit="1" customWidth="1"/>
    <col min="16148" max="16149" width="13.109375" style="247" bestFit="1" customWidth="1"/>
    <col min="16150" max="16150" width="9.33203125" style="247"/>
    <col min="16151" max="16151" width="13.109375" style="247" bestFit="1" customWidth="1"/>
    <col min="16152" max="16152" width="12" style="247" bestFit="1" customWidth="1"/>
    <col min="16153" max="16384" width="9.33203125" style="247"/>
  </cols>
  <sheetData>
    <row r="2" spans="1:21" x14ac:dyDescent="0.25">
      <c r="B2" s="281" t="s">
        <v>588</v>
      </c>
      <c r="C2" s="282"/>
      <c r="D2" s="282"/>
      <c r="O2" s="283" t="s">
        <v>589</v>
      </c>
      <c r="R2" s="283"/>
    </row>
    <row r="3" spans="1:21" x14ac:dyDescent="0.25">
      <c r="B3" s="282"/>
      <c r="C3" s="282"/>
      <c r="D3" s="282"/>
      <c r="O3" s="283"/>
      <c r="R3" s="283"/>
      <c r="T3" s="247" t="s">
        <v>586</v>
      </c>
    </row>
    <row r="4" spans="1:21" ht="15.6" x14ac:dyDescent="0.3">
      <c r="B4" s="1616" t="s">
        <v>590</v>
      </c>
      <c r="C4" s="1616"/>
      <c r="D4" s="1616"/>
      <c r="E4" s="1616"/>
      <c r="F4" s="1616"/>
      <c r="G4" s="1616"/>
      <c r="H4" s="1616"/>
      <c r="I4" s="1616"/>
      <c r="J4" s="1616"/>
      <c r="K4" s="1616"/>
      <c r="L4" s="1616"/>
      <c r="M4" s="1616"/>
      <c r="N4" s="1616"/>
      <c r="O4" s="1616"/>
      <c r="P4" s="1616"/>
      <c r="Q4" s="1616"/>
      <c r="R4" s="1616"/>
      <c r="T4" s="247" t="s">
        <v>587</v>
      </c>
      <c r="U4" s="247">
        <f>L17</f>
        <v>5000000</v>
      </c>
    </row>
    <row r="5" spans="1:21" x14ac:dyDescent="0.25"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</row>
    <row r="6" spans="1:21" x14ac:dyDescent="0.25">
      <c r="B6" s="284" t="s">
        <v>535</v>
      </c>
      <c r="C6" s="284"/>
      <c r="D6" s="270" t="s">
        <v>137</v>
      </c>
      <c r="E6" s="285" t="str">
        <f>+[20]INPUT!L6</f>
        <v>Jawa Timur</v>
      </c>
      <c r="F6" s="286"/>
      <c r="G6" s="286"/>
      <c r="H6" s="286"/>
      <c r="I6" s="286"/>
      <c r="N6" s="285"/>
      <c r="O6" s="285"/>
      <c r="P6" s="285"/>
      <c r="Q6" s="285"/>
    </row>
    <row r="7" spans="1:21" x14ac:dyDescent="0.25">
      <c r="B7" s="284" t="s">
        <v>536</v>
      </c>
      <c r="C7" s="284"/>
      <c r="D7" s="270" t="s">
        <v>137</v>
      </c>
      <c r="E7" s="285" t="str">
        <f>+[20]INPUT!L7</f>
        <v>Malang</v>
      </c>
      <c r="F7" s="286"/>
      <c r="G7" s="286"/>
      <c r="H7" s="286"/>
      <c r="I7" s="286"/>
      <c r="J7" s="287"/>
      <c r="K7" s="287" t="s">
        <v>591</v>
      </c>
      <c r="L7" s="285"/>
      <c r="M7" s="382" t="s">
        <v>777</v>
      </c>
      <c r="N7" s="285"/>
      <c r="O7" s="285"/>
      <c r="P7" s="285"/>
      <c r="Q7" s="285"/>
    </row>
    <row r="8" spans="1:21" x14ac:dyDescent="0.25">
      <c r="B8" s="284" t="s">
        <v>538</v>
      </c>
      <c r="C8" s="284"/>
      <c r="D8" s="270" t="s">
        <v>137</v>
      </c>
      <c r="E8" s="285" t="str">
        <f>+[20]INPUT!L8</f>
        <v>Wagir</v>
      </c>
      <c r="F8" s="286"/>
      <c r="G8" s="286"/>
      <c r="H8" s="286"/>
      <c r="I8" s="286"/>
      <c r="J8" s="287"/>
      <c r="K8" s="287" t="s">
        <v>592</v>
      </c>
      <c r="L8" s="285" t="e">
        <f>#REF!</f>
        <v>#REF!</v>
      </c>
      <c r="M8" s="382" t="s">
        <v>778</v>
      </c>
      <c r="N8" s="285"/>
      <c r="O8" s="285"/>
      <c r="P8" s="285"/>
      <c r="Q8" s="285"/>
    </row>
    <row r="9" spans="1:21" x14ac:dyDescent="0.25">
      <c r="B9" s="284" t="s">
        <v>43</v>
      </c>
      <c r="C9" s="284"/>
      <c r="D9" s="270" t="s">
        <v>137</v>
      </c>
      <c r="E9" s="285" t="str">
        <f>+[20]INPUT!L9</f>
        <v>Pandanlandung</v>
      </c>
      <c r="F9" s="288"/>
      <c r="G9" s="288"/>
      <c r="H9" s="288"/>
      <c r="I9" s="288"/>
      <c r="J9" s="287"/>
      <c r="K9" s="287" t="s">
        <v>594</v>
      </c>
      <c r="L9" s="285" t="e">
        <f>#REF!</f>
        <v>#REF!</v>
      </c>
      <c r="M9" s="383" t="s">
        <v>779</v>
      </c>
      <c r="N9" s="288"/>
      <c r="O9" s="289"/>
      <c r="P9" s="288" t="s">
        <v>313</v>
      </c>
      <c r="Q9" s="288"/>
      <c r="R9" s="288"/>
    </row>
    <row r="10" spans="1:21" x14ac:dyDescent="0.25">
      <c r="B10" s="284"/>
      <c r="C10" s="284"/>
      <c r="E10" s="285"/>
      <c r="F10" s="288"/>
      <c r="G10" s="288"/>
      <c r="H10" s="288"/>
      <c r="I10" s="288"/>
      <c r="J10" s="287"/>
      <c r="K10" s="287"/>
      <c r="L10" s="285"/>
      <c r="M10" s="289"/>
      <c r="N10" s="288"/>
      <c r="O10" s="289"/>
      <c r="P10" s="288"/>
      <c r="Q10" s="288"/>
      <c r="R10" s="288"/>
    </row>
    <row r="11" spans="1:21" s="290" customFormat="1" ht="14.25" customHeight="1" x14ac:dyDescent="0.25">
      <c r="A11" s="247"/>
      <c r="B11" s="1597" t="s">
        <v>540</v>
      </c>
      <c r="C11" s="1598"/>
      <c r="D11" s="1598"/>
      <c r="E11" s="1599"/>
      <c r="F11" s="1624" t="s">
        <v>541</v>
      </c>
      <c r="G11" s="1625"/>
      <c r="H11" s="1625"/>
      <c r="I11" s="1634" t="s">
        <v>542</v>
      </c>
      <c r="J11" s="1628" t="s">
        <v>596</v>
      </c>
      <c r="K11" s="1629"/>
      <c r="L11" s="1632" t="s">
        <v>597</v>
      </c>
      <c r="M11" s="1617" t="s">
        <v>598</v>
      </c>
      <c r="N11" s="1618"/>
      <c r="O11" s="1619"/>
      <c r="P11" s="1617" t="s">
        <v>599</v>
      </c>
      <c r="Q11" s="1618"/>
      <c r="R11" s="1619"/>
    </row>
    <row r="12" spans="1:21" s="290" customFormat="1" ht="48.75" customHeight="1" x14ac:dyDescent="0.25">
      <c r="A12" s="247"/>
      <c r="B12" s="1600"/>
      <c r="C12" s="1601"/>
      <c r="D12" s="1601"/>
      <c r="E12" s="1602"/>
      <c r="F12" s="291" t="s">
        <v>600</v>
      </c>
      <c r="G12" s="292" t="s">
        <v>601</v>
      </c>
      <c r="H12" s="293" t="s">
        <v>168</v>
      </c>
      <c r="I12" s="1635"/>
      <c r="J12" s="1630"/>
      <c r="K12" s="1631"/>
      <c r="L12" s="1633"/>
      <c r="M12" s="1620"/>
      <c r="N12" s="1621"/>
      <c r="O12" s="1622"/>
      <c r="P12" s="1620"/>
      <c r="Q12" s="1621"/>
      <c r="R12" s="1622"/>
    </row>
    <row r="13" spans="1:21" ht="13.5" customHeight="1" x14ac:dyDescent="0.25">
      <c r="B13" s="300" t="s">
        <v>612</v>
      </c>
      <c r="C13" s="1623" t="s">
        <v>613</v>
      </c>
      <c r="D13" s="1623"/>
      <c r="E13" s="1623"/>
      <c r="F13" s="301"/>
      <c r="G13" s="302"/>
      <c r="H13" s="301"/>
      <c r="I13" s="301"/>
      <c r="J13" s="1626"/>
      <c r="K13" s="1627"/>
      <c r="L13" s="303"/>
      <c r="M13" s="304"/>
      <c r="N13" s="305"/>
      <c r="O13" s="306"/>
      <c r="P13" s="304"/>
      <c r="Q13" s="305"/>
      <c r="R13" s="306"/>
    </row>
    <row r="14" spans="1:21" x14ac:dyDescent="0.25">
      <c r="B14" s="309" t="s">
        <v>615</v>
      </c>
      <c r="C14" s="297" t="s">
        <v>568</v>
      </c>
      <c r="D14" s="297"/>
      <c r="E14" s="297"/>
      <c r="F14" s="298">
        <v>50</v>
      </c>
      <c r="G14" s="310"/>
      <c r="H14" s="298">
        <f>F14</f>
        <v>50</v>
      </c>
      <c r="I14" s="307" t="s">
        <v>319</v>
      </c>
      <c r="J14" s="1615">
        <f>'[20]DAFTAR HARGA'!E48</f>
        <v>100000</v>
      </c>
      <c r="K14" s="1614"/>
      <c r="L14" s="308"/>
      <c r="M14" s="1447">
        <f>H14*J14</f>
        <v>5000000</v>
      </c>
      <c r="N14" s="1448"/>
      <c r="O14" s="1449"/>
      <c r="P14" s="1447">
        <f>M14</f>
        <v>5000000</v>
      </c>
      <c r="Q14" s="1448"/>
      <c r="R14" s="1449"/>
    </row>
    <row r="15" spans="1:21" x14ac:dyDescent="0.25">
      <c r="B15" s="296"/>
      <c r="C15" s="297"/>
      <c r="D15" s="297"/>
      <c r="E15" s="297"/>
      <c r="F15" s="311"/>
      <c r="G15" s="310"/>
      <c r="H15" s="311"/>
      <c r="I15" s="312"/>
      <c r="J15" s="1613"/>
      <c r="K15" s="1614"/>
      <c r="L15" s="308"/>
      <c r="M15" s="1447"/>
      <c r="N15" s="1448"/>
      <c r="O15" s="1449"/>
      <c r="P15" s="1447"/>
      <c r="Q15" s="1448"/>
      <c r="R15" s="1449"/>
    </row>
    <row r="16" spans="1:21" ht="13.5" customHeight="1" x14ac:dyDescent="0.25">
      <c r="B16" s="1607" t="s">
        <v>571</v>
      </c>
      <c r="C16" s="1608"/>
      <c r="D16" s="1608"/>
      <c r="E16" s="1608"/>
      <c r="F16" s="1608"/>
      <c r="G16" s="1608"/>
      <c r="H16" s="1608"/>
      <c r="I16" s="1608"/>
      <c r="J16" s="1608"/>
      <c r="K16" s="1609"/>
      <c r="L16" s="299">
        <f>SUM(L14:L15)</f>
        <v>0</v>
      </c>
      <c r="M16" s="1612">
        <f>SUM(M14:O15)</f>
        <v>5000000</v>
      </c>
      <c r="N16" s="1605"/>
      <c r="O16" s="1606"/>
      <c r="P16" s="1612">
        <f>SUM(P14:R15)</f>
        <v>5000000</v>
      </c>
      <c r="Q16" s="1605"/>
      <c r="R16" s="1606"/>
    </row>
    <row r="17" spans="2:21" ht="14.25" customHeight="1" x14ac:dyDescent="0.25">
      <c r="B17" s="1610" t="s">
        <v>582</v>
      </c>
      <c r="C17" s="1611"/>
      <c r="D17" s="1611"/>
      <c r="E17" s="1611"/>
      <c r="F17" s="1611"/>
      <c r="G17" s="1611"/>
      <c r="H17" s="1611"/>
      <c r="I17" s="1611"/>
      <c r="J17" s="1611"/>
      <c r="K17" s="1611"/>
      <c r="L17" s="1604">
        <f>M16</f>
        <v>5000000</v>
      </c>
      <c r="M17" s="1605"/>
      <c r="N17" s="1605"/>
      <c r="O17" s="1606"/>
      <c r="P17" s="294"/>
      <c r="Q17" s="313"/>
      <c r="R17" s="314"/>
      <c r="T17" s="247">
        <f>M16/L17*100</f>
        <v>100</v>
      </c>
      <c r="U17" s="247" t="s">
        <v>620</v>
      </c>
    </row>
    <row r="18" spans="2:21" ht="14.25" hidden="1" customHeight="1" x14ac:dyDescent="0.25">
      <c r="B18" s="284" t="s">
        <v>621</v>
      </c>
      <c r="C18" s="284"/>
    </row>
    <row r="19" spans="2:21" ht="9.75" hidden="1" customHeight="1" x14ac:dyDescent="0.25">
      <c r="B19" s="270" t="s">
        <v>604</v>
      </c>
      <c r="C19" s="247" t="s">
        <v>622</v>
      </c>
    </row>
    <row r="20" spans="2:21" ht="9.75" hidden="1" customHeight="1" x14ac:dyDescent="0.25">
      <c r="B20" s="270" t="s">
        <v>609</v>
      </c>
      <c r="C20" s="247" t="s">
        <v>623</v>
      </c>
    </row>
    <row r="21" spans="2:21" ht="9.75" hidden="1" customHeight="1" x14ac:dyDescent="0.25">
      <c r="B21" s="270" t="s">
        <v>612</v>
      </c>
      <c r="C21" s="247" t="s">
        <v>624</v>
      </c>
    </row>
    <row r="22" spans="2:21" ht="9.75" hidden="1" customHeight="1" x14ac:dyDescent="0.25">
      <c r="C22" s="247"/>
    </row>
    <row r="23" spans="2:21" ht="9.75" hidden="1" customHeight="1" x14ac:dyDescent="0.25">
      <c r="B23" s="284" t="s">
        <v>625</v>
      </c>
    </row>
    <row r="24" spans="2:21" ht="9.75" hidden="1" customHeight="1" x14ac:dyDescent="0.25">
      <c r="B24" s="284" t="s">
        <v>626</v>
      </c>
      <c r="C24" s="284" t="s">
        <v>627</v>
      </c>
    </row>
    <row r="25" spans="2:21" ht="9.75" hidden="1" customHeight="1" x14ac:dyDescent="0.25">
      <c r="B25" s="284" t="s">
        <v>628</v>
      </c>
      <c r="C25" s="284" t="s">
        <v>629</v>
      </c>
    </row>
    <row r="26" spans="2:21" ht="9.75" hidden="1" customHeight="1" x14ac:dyDescent="0.25">
      <c r="B26" s="284"/>
      <c r="C26" s="284"/>
    </row>
    <row r="27" spans="2:21" ht="9.75" hidden="1" customHeight="1" x14ac:dyDescent="0.25">
      <c r="B27" s="284" t="s">
        <v>630</v>
      </c>
      <c r="C27" s="284" t="s">
        <v>631</v>
      </c>
    </row>
    <row r="28" spans="2:21" ht="9.75" hidden="1" customHeight="1" x14ac:dyDescent="0.25">
      <c r="B28" s="284" t="s">
        <v>632</v>
      </c>
      <c r="C28" s="284" t="s">
        <v>633</v>
      </c>
    </row>
    <row r="29" spans="2:21" ht="9.75" hidden="1" customHeight="1" x14ac:dyDescent="0.25">
      <c r="B29" s="284"/>
      <c r="C29" s="284"/>
    </row>
    <row r="30" spans="2:21" ht="9.75" hidden="1" customHeight="1" x14ac:dyDescent="0.25">
      <c r="B30" s="284" t="s">
        <v>634</v>
      </c>
      <c r="C30" s="284" t="s">
        <v>635</v>
      </c>
    </row>
    <row r="31" spans="2:21" hidden="1" x14ac:dyDescent="0.25">
      <c r="B31" s="284" t="s">
        <v>636</v>
      </c>
      <c r="C31" s="284" t="s">
        <v>637</v>
      </c>
    </row>
    <row r="32" spans="2:21" s="244" customFormat="1" x14ac:dyDescent="0.25">
      <c r="B32" s="284"/>
      <c r="C32" s="284"/>
      <c r="D32" s="270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spans="2:20" x14ac:dyDescent="0.25">
      <c r="B33" s="1603" t="s">
        <v>638</v>
      </c>
      <c r="C33" s="1603"/>
      <c r="D33" s="1603"/>
      <c r="E33" s="1603"/>
      <c r="F33" s="1603"/>
      <c r="K33" s="1603" t="s">
        <v>639</v>
      </c>
      <c r="L33" s="1603"/>
      <c r="M33" s="1603"/>
      <c r="N33" s="1603"/>
      <c r="O33" s="1603"/>
      <c r="T33" s="315"/>
    </row>
    <row r="34" spans="2:20" x14ac:dyDescent="0.25">
      <c r="B34" s="1603" t="s">
        <v>640</v>
      </c>
      <c r="C34" s="1603"/>
      <c r="D34" s="1603"/>
      <c r="E34" s="1603"/>
      <c r="F34" s="1603"/>
      <c r="J34" s="1603" t="s">
        <v>641</v>
      </c>
      <c r="K34" s="1603"/>
      <c r="L34" s="1603"/>
      <c r="M34" s="1603"/>
      <c r="N34" s="1603"/>
      <c r="O34" s="1603"/>
      <c r="P34" s="1603"/>
    </row>
    <row r="38" spans="2:20" ht="16.8" x14ac:dyDescent="0.55000000000000004">
      <c r="B38" s="1596"/>
      <c r="C38" s="1596"/>
      <c r="D38" s="1596"/>
      <c r="E38" s="1596"/>
      <c r="F38" s="1596"/>
      <c r="K38" s="1596"/>
      <c r="L38" s="1596"/>
      <c r="M38" s="1596"/>
      <c r="N38" s="1596"/>
      <c r="O38" s="1596"/>
    </row>
  </sheetData>
  <mergeCells count="27">
    <mergeCell ref="P14:R14"/>
    <mergeCell ref="J14:K14"/>
    <mergeCell ref="B4:R4"/>
    <mergeCell ref="M11:O12"/>
    <mergeCell ref="C13:E13"/>
    <mergeCell ref="F11:H11"/>
    <mergeCell ref="J13:K13"/>
    <mergeCell ref="J11:K12"/>
    <mergeCell ref="P11:R12"/>
    <mergeCell ref="L11:L12"/>
    <mergeCell ref="I11:I12"/>
    <mergeCell ref="B38:F38"/>
    <mergeCell ref="B11:E12"/>
    <mergeCell ref="B33:F33"/>
    <mergeCell ref="B34:F34"/>
    <mergeCell ref="K33:O33"/>
    <mergeCell ref="L17:O17"/>
    <mergeCell ref="K38:O38"/>
    <mergeCell ref="J34:P34"/>
    <mergeCell ref="B16:K16"/>
    <mergeCell ref="B17:K17"/>
    <mergeCell ref="P15:R15"/>
    <mergeCell ref="M16:O16"/>
    <mergeCell ref="P16:R16"/>
    <mergeCell ref="J15:K15"/>
    <mergeCell ref="M14:O14"/>
    <mergeCell ref="M15:O15"/>
  </mergeCells>
  <printOptions horizontalCentered="1"/>
  <pageMargins left="0.35" right="0.3" top="0.25" bottom="0.18" header="0.5" footer="0.5"/>
  <pageSetup paperSize="9" scale="90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S26"/>
  <sheetViews>
    <sheetView zoomScale="125" workbookViewId="0">
      <selection activeCell="G21" sqref="G21:J21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v>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25</v>
      </c>
      <c r="M4" s="1366">
        <f>J13</f>
        <v>3000000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322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323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3000000</v>
      </c>
    </row>
    <row r="14" spans="1:19" ht="15" customHeight="1" x14ac:dyDescent="0.25">
      <c r="A14" s="225" t="s">
        <v>324</v>
      </c>
      <c r="B14" s="1435" t="s">
        <v>329</v>
      </c>
      <c r="C14" s="1436"/>
      <c r="D14" s="1436"/>
      <c r="E14" s="1436"/>
      <c r="F14" s="1437"/>
      <c r="G14" s="226"/>
      <c r="H14" s="95"/>
      <c r="I14" s="96"/>
      <c r="J14" s="228"/>
      <c r="L14" s="1431" t="s">
        <v>436</v>
      </c>
      <c r="M14" s="1431"/>
      <c r="N14" s="1431"/>
      <c r="O14" s="1431"/>
      <c r="P14" s="1431"/>
      <c r="Q14" s="1431"/>
      <c r="R14" s="1431"/>
      <c r="S14" s="1431"/>
    </row>
    <row r="15" spans="1:19" ht="15.15" customHeight="1" x14ac:dyDescent="0.25">
      <c r="A15" s="89" t="s">
        <v>325</v>
      </c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J16+J17</f>
        <v>3000000</v>
      </c>
      <c r="L15" s="1431"/>
      <c r="M15" s="1431"/>
      <c r="N15" s="1431"/>
      <c r="O15" s="1431"/>
      <c r="P15" s="1431"/>
      <c r="Q15" s="1431"/>
      <c r="R15" s="1431"/>
      <c r="S15" s="1431"/>
    </row>
    <row r="16" spans="1:19" ht="14.1" customHeight="1" x14ac:dyDescent="0.25">
      <c r="A16" s="99" t="s">
        <v>205</v>
      </c>
      <c r="B16" s="100"/>
      <c r="C16" s="1361" t="s">
        <v>326</v>
      </c>
      <c r="D16" s="1361"/>
      <c r="E16" s="102"/>
      <c r="F16" s="103"/>
      <c r="G16" s="104"/>
      <c r="H16" s="95"/>
      <c r="I16" s="105"/>
      <c r="J16" s="106">
        <f>J18</f>
        <v>3000000</v>
      </c>
      <c r="L16" s="1431"/>
      <c r="M16" s="1431"/>
      <c r="N16" s="1431"/>
      <c r="O16" s="1431"/>
      <c r="P16" s="1431"/>
      <c r="Q16" s="1431"/>
      <c r="R16" s="1431"/>
      <c r="S16" s="1431"/>
    </row>
    <row r="17" spans="1:19" ht="14.1" customHeight="1" x14ac:dyDescent="0.25">
      <c r="A17" s="99"/>
      <c r="B17" s="100"/>
      <c r="C17" s="1361" t="s">
        <v>207</v>
      </c>
      <c r="D17" s="1361"/>
      <c r="E17" s="102"/>
      <c r="F17" s="103"/>
      <c r="G17" s="104"/>
      <c r="H17" s="95"/>
      <c r="I17" s="96"/>
      <c r="J17" s="118"/>
      <c r="L17" s="1431"/>
      <c r="M17" s="1431"/>
      <c r="N17" s="1431"/>
      <c r="O17" s="1431"/>
      <c r="P17" s="1431"/>
      <c r="Q17" s="1431"/>
      <c r="R17" s="1431"/>
      <c r="S17" s="1431"/>
    </row>
    <row r="18" spans="1:19" customFormat="1" x14ac:dyDescent="0.25">
      <c r="A18" s="99"/>
      <c r="B18" s="100"/>
      <c r="C18" s="1160" t="s">
        <v>123</v>
      </c>
      <c r="D18" s="357" t="s">
        <v>785</v>
      </c>
      <c r="E18" s="232" t="s">
        <v>25</v>
      </c>
      <c r="F18" s="103"/>
      <c r="G18" s="104">
        <v>120</v>
      </c>
      <c r="H18" s="117" t="s">
        <v>670</v>
      </c>
      <c r="I18" s="118">
        <v>25000</v>
      </c>
      <c r="J18" s="118">
        <f>I18*G18</f>
        <v>3000000</v>
      </c>
      <c r="L18" s="1431"/>
      <c r="M18" s="1431"/>
      <c r="N18" s="1431"/>
      <c r="O18" s="1431"/>
      <c r="P18" s="1431"/>
      <c r="Q18" s="1431"/>
      <c r="R18" s="1431"/>
      <c r="S18" s="1431"/>
    </row>
    <row r="19" spans="1:19" s="79" customFormat="1" ht="20.85" customHeight="1" x14ac:dyDescent="0.25">
      <c r="A19" s="127"/>
      <c r="B19" s="1357" t="s">
        <v>15</v>
      </c>
      <c r="C19" s="1358"/>
      <c r="D19" s="1358"/>
      <c r="E19" s="1358"/>
      <c r="F19" s="80"/>
      <c r="G19" s="1357"/>
      <c r="H19" s="1362"/>
      <c r="I19" s="127"/>
      <c r="J19" s="88">
        <f>J13</f>
        <v>3000000</v>
      </c>
    </row>
    <row r="20" spans="1:19" s="79" customFormat="1" ht="9.75" customHeight="1" x14ac:dyDescent="0.25">
      <c r="A20" s="128"/>
      <c r="B20" s="128"/>
      <c r="C20" s="129"/>
      <c r="D20" s="78"/>
      <c r="E20" s="78"/>
      <c r="F20" s="78"/>
      <c r="G20" s="78"/>
      <c r="H20" s="78"/>
      <c r="I20" s="128"/>
      <c r="J20" s="130"/>
    </row>
    <row r="21" spans="1:19" s="79" customFormat="1" ht="14.25" customHeight="1" x14ac:dyDescent="0.25">
      <c r="A21" s="131"/>
      <c r="B21" s="131"/>
      <c r="C21" s="109"/>
      <c r="D21" s="132"/>
      <c r="E21" s="132"/>
      <c r="F21" s="132"/>
      <c r="G21" s="1359" t="s">
        <v>1002</v>
      </c>
      <c r="H21" s="1360"/>
      <c r="I21" s="1360"/>
      <c r="J21" s="1360"/>
    </row>
    <row r="22" spans="1:19" s="133" customFormat="1" ht="15" customHeight="1" x14ac:dyDescent="0.25">
      <c r="A22" s="1356" t="s">
        <v>11</v>
      </c>
      <c r="B22" s="1356"/>
      <c r="C22" s="1356"/>
      <c r="D22" s="1356"/>
      <c r="E22" s="134"/>
      <c r="F22" s="134"/>
      <c r="G22" s="1356" t="s">
        <v>21</v>
      </c>
      <c r="H22" s="1356"/>
      <c r="I22" s="1356"/>
      <c r="J22" s="1356"/>
    </row>
    <row r="26" spans="1:19" s="74" customFormat="1" ht="10.199999999999999" x14ac:dyDescent="0.25">
      <c r="A26" s="1355" t="s">
        <v>1000</v>
      </c>
      <c r="B26" s="1355"/>
      <c r="C26" s="1355"/>
      <c r="D26" s="1355"/>
      <c r="G26" s="1355" t="s">
        <v>260</v>
      </c>
      <c r="H26" s="1355"/>
      <c r="I26" s="1355"/>
      <c r="J26" s="1355"/>
    </row>
  </sheetData>
  <mergeCells count="30">
    <mergeCell ref="A10:A11"/>
    <mergeCell ref="A26:D26"/>
    <mergeCell ref="A3:J3"/>
    <mergeCell ref="A1:J1"/>
    <mergeCell ref="G19:H19"/>
    <mergeCell ref="A2:J2"/>
    <mergeCell ref="D5:J5"/>
    <mergeCell ref="G11:H11"/>
    <mergeCell ref="G10:J10"/>
    <mergeCell ref="M3:N3"/>
    <mergeCell ref="B19:E19"/>
    <mergeCell ref="G22:J22"/>
    <mergeCell ref="M4:N4"/>
    <mergeCell ref="L14:S18"/>
    <mergeCell ref="L2:N2"/>
    <mergeCell ref="A22:D22"/>
    <mergeCell ref="G26:J26"/>
    <mergeCell ref="C17:D17"/>
    <mergeCell ref="D8:J8"/>
    <mergeCell ref="B12:F12"/>
    <mergeCell ref="D6:J6"/>
    <mergeCell ref="C16:D16"/>
    <mergeCell ref="B13:F13"/>
    <mergeCell ref="G21:J21"/>
    <mergeCell ref="D7:J7"/>
    <mergeCell ref="B14:F14"/>
    <mergeCell ref="B15:D15"/>
    <mergeCell ref="D9:J9"/>
    <mergeCell ref="G12:H12"/>
    <mergeCell ref="B10:F11"/>
  </mergeCells>
  <pageMargins left="0.8" right="0.65" top="0.68" bottom="0.75" header="0.3" footer="0.3"/>
  <pageSetup paperSize="14" fitToWidth="0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S25"/>
  <sheetViews>
    <sheetView zoomScale="150" workbookViewId="0">
      <selection activeCell="G20" sqref="G20:J20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0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J17</f>
        <v>5000000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25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327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328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5000000</v>
      </c>
    </row>
    <row r="14" spans="1:19" ht="15" customHeight="1" x14ac:dyDescent="0.25">
      <c r="A14" s="225" t="s">
        <v>324</v>
      </c>
      <c r="B14" s="1435" t="s">
        <v>718</v>
      </c>
      <c r="C14" s="1436"/>
      <c r="D14" s="1436"/>
      <c r="E14" s="1436"/>
      <c r="F14" s="1437"/>
      <c r="G14" s="226"/>
      <c r="H14" s="95"/>
      <c r="I14" s="96"/>
      <c r="J14" s="228"/>
      <c r="L14" s="1387" t="s">
        <v>336</v>
      </c>
      <c r="M14" s="1387"/>
      <c r="N14" s="1387"/>
      <c r="O14" s="1387"/>
      <c r="P14" s="1387"/>
      <c r="Q14" s="1387"/>
      <c r="R14" s="1387"/>
      <c r="S14" s="1387"/>
    </row>
    <row r="15" spans="1:19" ht="15.15" customHeight="1" x14ac:dyDescent="0.25">
      <c r="A15" s="89" t="s">
        <v>325</v>
      </c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5000000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 t="s">
        <v>205</v>
      </c>
      <c r="B16" s="100"/>
      <c r="C16" s="1361" t="s">
        <v>326</v>
      </c>
      <c r="D16" s="1361"/>
      <c r="E16" s="102"/>
      <c r="F16" s="103"/>
      <c r="G16" s="104"/>
      <c r="H16" s="95"/>
      <c r="I16" s="105"/>
      <c r="J16" s="106">
        <f>SUM(J17:J17)</f>
        <v>5000000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161" t="s">
        <v>123</v>
      </c>
      <c r="D17" s="102" t="s">
        <v>525</v>
      </c>
      <c r="E17" s="110" t="s">
        <v>50</v>
      </c>
      <c r="F17" s="111"/>
      <c r="G17" s="112">
        <v>1</v>
      </c>
      <c r="H17" s="113" t="s">
        <v>315</v>
      </c>
      <c r="I17" s="114">
        <v>5000000</v>
      </c>
      <c r="J17" s="114">
        <f>I17*G17</f>
        <v>5000000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s="79" customFormat="1" ht="20.85" customHeight="1" x14ac:dyDescent="0.25">
      <c r="A18" s="127"/>
      <c r="B18" s="1357" t="s">
        <v>15</v>
      </c>
      <c r="C18" s="1358"/>
      <c r="D18" s="1358"/>
      <c r="E18" s="1358"/>
      <c r="F18" s="80"/>
      <c r="G18" s="1357"/>
      <c r="H18" s="1362"/>
      <c r="I18" s="127"/>
      <c r="J18" s="88">
        <f>J13</f>
        <v>5000000</v>
      </c>
    </row>
    <row r="19" spans="1:19" s="79" customFormat="1" ht="9.75" customHeight="1" x14ac:dyDescent="0.25">
      <c r="A19" s="128"/>
      <c r="B19" s="128"/>
      <c r="C19" s="129"/>
      <c r="D19" s="78"/>
      <c r="E19" s="78"/>
      <c r="F19" s="78"/>
      <c r="G19" s="78"/>
      <c r="H19" s="78"/>
      <c r="I19" s="128"/>
      <c r="J19" s="130"/>
    </row>
    <row r="20" spans="1:19" s="79" customFormat="1" ht="14.25" customHeight="1" x14ac:dyDescent="0.25">
      <c r="A20" s="131"/>
      <c r="B20" s="131"/>
      <c r="C20" s="109"/>
      <c r="D20" s="132"/>
      <c r="E20" s="132"/>
      <c r="F20" s="132"/>
      <c r="G20" s="1359" t="s">
        <v>1002</v>
      </c>
      <c r="H20" s="1360"/>
      <c r="I20" s="1360"/>
      <c r="J20" s="1360"/>
    </row>
    <row r="21" spans="1:19" s="133" customFormat="1" ht="15" customHeight="1" x14ac:dyDescent="0.25">
      <c r="A21" s="1356" t="s">
        <v>11</v>
      </c>
      <c r="B21" s="1356"/>
      <c r="C21" s="1356"/>
      <c r="D21" s="1356"/>
      <c r="E21" s="134"/>
      <c r="F21" s="134"/>
      <c r="G21" s="1356" t="s">
        <v>21</v>
      </c>
      <c r="H21" s="1356"/>
      <c r="I21" s="1356"/>
      <c r="J21" s="1356"/>
    </row>
    <row r="25" spans="1:19" s="74" customFormat="1" ht="10.199999999999999" x14ac:dyDescent="0.25">
      <c r="A25" s="1355" t="s">
        <v>1000</v>
      </c>
      <c r="B25" s="1355"/>
      <c r="C25" s="1355"/>
      <c r="D25" s="1355"/>
      <c r="G25" s="1355" t="s">
        <v>260</v>
      </c>
      <c r="H25" s="1355"/>
      <c r="I25" s="1355"/>
      <c r="J25" s="1355"/>
    </row>
  </sheetData>
  <mergeCells count="29">
    <mergeCell ref="A1:J1"/>
    <mergeCell ref="A2:J2"/>
    <mergeCell ref="G18:H18"/>
    <mergeCell ref="D7:J7"/>
    <mergeCell ref="D9:J9"/>
    <mergeCell ref="B10:F11"/>
    <mergeCell ref="A3:J3"/>
    <mergeCell ref="D5:J5"/>
    <mergeCell ref="C16:D16"/>
    <mergeCell ref="B15:D15"/>
    <mergeCell ref="G11:H11"/>
    <mergeCell ref="G12:H12"/>
    <mergeCell ref="B14:F14"/>
    <mergeCell ref="A10:A11"/>
    <mergeCell ref="B13:F13"/>
    <mergeCell ref="G10:J10"/>
    <mergeCell ref="A25:D25"/>
    <mergeCell ref="G25:J25"/>
    <mergeCell ref="L2:N2"/>
    <mergeCell ref="A21:D21"/>
    <mergeCell ref="D6:J6"/>
    <mergeCell ref="M4:N4"/>
    <mergeCell ref="B18:E18"/>
    <mergeCell ref="M3:N3"/>
    <mergeCell ref="G21:J21"/>
    <mergeCell ref="L14:S17"/>
    <mergeCell ref="D8:J8"/>
    <mergeCell ref="G20:J20"/>
    <mergeCell ref="B12:F12"/>
  </mergeCells>
  <pageMargins left="0.8" right="0.65" top="0.68" bottom="0.75" header="0.3" footer="0.3"/>
  <pageSetup paperSize="14" fitToWidth="0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S26"/>
  <sheetViews>
    <sheetView zoomScale="183" workbookViewId="0">
      <selection activeCell="M4" sqref="M4:N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2.7773437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133" t="s">
        <v>50</v>
      </c>
      <c r="M3" s="1638">
        <v>5000000</v>
      </c>
      <c r="N3" s="1638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133" t="s">
        <v>25</v>
      </c>
      <c r="M4" s="1638">
        <v>0</v>
      </c>
      <c r="N4" s="1638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  <c r="L5" s="43" t="s">
        <v>668</v>
      </c>
      <c r="M5" s="1636">
        <v>0</v>
      </c>
      <c r="N5" s="1637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330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331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5000000</v>
      </c>
      <c r="L13" s="1387" t="s">
        <v>335</v>
      </c>
      <c r="M13" s="1387"/>
      <c r="N13" s="1387"/>
      <c r="O13" s="1387"/>
      <c r="P13" s="1387"/>
      <c r="Q13" s="1387"/>
      <c r="R13" s="1387"/>
      <c r="S13" s="1387"/>
    </row>
    <row r="14" spans="1:19" ht="15" customHeight="1" x14ac:dyDescent="0.25">
      <c r="A14" s="225" t="s">
        <v>324</v>
      </c>
      <c r="B14" s="1435" t="s">
        <v>329</v>
      </c>
      <c r="C14" s="1436"/>
      <c r="D14" s="1436"/>
      <c r="E14" s="1436"/>
      <c r="F14" s="1437"/>
      <c r="G14" s="226"/>
      <c r="H14" s="95"/>
      <c r="I14" s="96"/>
      <c r="J14" s="228"/>
      <c r="L14" s="1387"/>
      <c r="M14" s="1387"/>
      <c r="N14" s="1387"/>
      <c r="O14" s="1387"/>
      <c r="P14" s="1387"/>
      <c r="Q14" s="1387"/>
      <c r="R14" s="1387"/>
      <c r="S14" s="1387"/>
    </row>
    <row r="15" spans="1:19" ht="15.15" customHeight="1" x14ac:dyDescent="0.25">
      <c r="A15" s="89" t="s">
        <v>325</v>
      </c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5000000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 t="s">
        <v>205</v>
      </c>
      <c r="B16" s="100"/>
      <c r="C16" s="1361" t="s">
        <v>326</v>
      </c>
      <c r="D16" s="1361"/>
      <c r="E16" s="102"/>
      <c r="F16" s="103"/>
      <c r="G16" s="104"/>
      <c r="H16" s="95"/>
      <c r="I16" s="105"/>
      <c r="J16" s="106">
        <f>SUM(J17:J18)</f>
        <v>5000000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4.1" customHeight="1" x14ac:dyDescent="0.25">
      <c r="A17" s="99"/>
      <c r="B17" s="100"/>
      <c r="C17" s="109" t="s">
        <v>163</v>
      </c>
      <c r="D17" s="101" t="s">
        <v>521</v>
      </c>
      <c r="E17" s="232" t="s">
        <v>50</v>
      </c>
      <c r="F17" s="103"/>
      <c r="G17" s="320">
        <v>46</v>
      </c>
      <c r="H17" s="113" t="s">
        <v>524</v>
      </c>
      <c r="I17" s="114">
        <v>80000</v>
      </c>
      <c r="J17" s="114">
        <f>I17*G17</f>
        <v>3680000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ht="14.1" customHeight="1" x14ac:dyDescent="0.25">
      <c r="A18" s="99"/>
      <c r="B18" s="100"/>
      <c r="C18" s="109" t="s">
        <v>164</v>
      </c>
      <c r="D18" s="101" t="s">
        <v>522</v>
      </c>
      <c r="E18" s="232" t="s">
        <v>50</v>
      </c>
      <c r="F18" s="103"/>
      <c r="G18" s="104">
        <v>12</v>
      </c>
      <c r="H18" s="117" t="s">
        <v>523</v>
      </c>
      <c r="I18" s="118">
        <v>110000</v>
      </c>
      <c r="J18" s="118">
        <f>I18*G18</f>
        <v>1320000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s="79" customFormat="1" ht="20.85" customHeight="1" x14ac:dyDescent="0.25">
      <c r="A19" s="127"/>
      <c r="B19" s="1357" t="s">
        <v>15</v>
      </c>
      <c r="C19" s="1358"/>
      <c r="D19" s="1358"/>
      <c r="E19" s="1358"/>
      <c r="F19" s="80"/>
      <c r="G19" s="1357"/>
      <c r="H19" s="1362"/>
      <c r="I19" s="127"/>
      <c r="J19" s="88">
        <f>J13</f>
        <v>5000000</v>
      </c>
    </row>
    <row r="20" spans="1:19" s="79" customFormat="1" ht="9.75" customHeight="1" x14ac:dyDescent="0.25">
      <c r="A20" s="128"/>
      <c r="B20" s="128"/>
      <c r="C20" s="129"/>
      <c r="D20" s="78"/>
      <c r="E20" s="78"/>
      <c r="F20" s="78"/>
      <c r="G20" s="78"/>
      <c r="H20" s="78"/>
      <c r="I20" s="128"/>
      <c r="J20" s="130"/>
    </row>
    <row r="21" spans="1:19" s="79" customFormat="1" ht="14.25" customHeight="1" x14ac:dyDescent="0.25">
      <c r="A21" s="131"/>
      <c r="B21" s="131"/>
      <c r="C21" s="109"/>
      <c r="D21" s="132"/>
      <c r="E21" s="132"/>
      <c r="F21" s="132"/>
      <c r="G21" s="1359" t="s">
        <v>1002</v>
      </c>
      <c r="H21" s="1360"/>
      <c r="I21" s="1360"/>
      <c r="J21" s="1360"/>
    </row>
    <row r="22" spans="1:19" s="133" customFormat="1" ht="15" customHeight="1" x14ac:dyDescent="0.25">
      <c r="A22" s="1356" t="s">
        <v>11</v>
      </c>
      <c r="B22" s="1356"/>
      <c r="C22" s="1356"/>
      <c r="D22" s="1356"/>
      <c r="E22" s="134"/>
      <c r="F22" s="134"/>
      <c r="G22" s="1356" t="s">
        <v>21</v>
      </c>
      <c r="H22" s="1356"/>
      <c r="I22" s="1356"/>
      <c r="J22" s="1356"/>
    </row>
    <row r="26" spans="1:19" s="74" customFormat="1" ht="10.199999999999999" x14ac:dyDescent="0.25">
      <c r="A26" s="1355" t="s">
        <v>1000</v>
      </c>
      <c r="B26" s="1355"/>
      <c r="C26" s="1355"/>
      <c r="D26" s="1355"/>
      <c r="G26" s="1355" t="s">
        <v>260</v>
      </c>
      <c r="H26" s="1355"/>
      <c r="I26" s="1355"/>
      <c r="J26" s="1355"/>
    </row>
  </sheetData>
  <mergeCells count="30">
    <mergeCell ref="A1:J1"/>
    <mergeCell ref="D5:J5"/>
    <mergeCell ref="B12:F12"/>
    <mergeCell ref="D8:J8"/>
    <mergeCell ref="D7:J7"/>
    <mergeCell ref="D6:J6"/>
    <mergeCell ref="G11:H11"/>
    <mergeCell ref="D9:J9"/>
    <mergeCell ref="G10:J10"/>
    <mergeCell ref="L2:N2"/>
    <mergeCell ref="B10:F11"/>
    <mergeCell ref="B19:E19"/>
    <mergeCell ref="M5:N5"/>
    <mergeCell ref="A3:J3"/>
    <mergeCell ref="A10:A11"/>
    <mergeCell ref="B15:D15"/>
    <mergeCell ref="M3:N3"/>
    <mergeCell ref="G19:H19"/>
    <mergeCell ref="A2:J2"/>
    <mergeCell ref="C16:D16"/>
    <mergeCell ref="M4:N4"/>
    <mergeCell ref="B13:F13"/>
    <mergeCell ref="B14:F14"/>
    <mergeCell ref="L13:S18"/>
    <mergeCell ref="G26:J26"/>
    <mergeCell ref="G21:J21"/>
    <mergeCell ref="G12:H12"/>
    <mergeCell ref="A22:D22"/>
    <mergeCell ref="A26:D26"/>
    <mergeCell ref="G22:J22"/>
  </mergeCells>
  <pageMargins left="0.8" right="0.65" top="0.68" bottom="0.75" header="0.3" footer="0.3"/>
  <pageSetup paperSize="14" fitToWidth="0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S26"/>
  <sheetViews>
    <sheetView zoomScale="157" workbookViewId="0">
      <selection activeCell="M6" sqref="M6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639">
        <v>5000000</v>
      </c>
      <c r="N3" s="1639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25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  <c r="L5" s="39" t="s">
        <v>667</v>
      </c>
      <c r="M5" s="1640">
        <v>0</v>
      </c>
      <c r="N5" s="1641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416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1041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5000000</v>
      </c>
      <c r="L13" s="1387" t="s">
        <v>335</v>
      </c>
      <c r="M13" s="1387"/>
      <c r="N13" s="1387"/>
      <c r="O13" s="1387"/>
      <c r="P13" s="1387"/>
      <c r="Q13" s="1387"/>
      <c r="R13" s="1387"/>
      <c r="S13" s="1387"/>
    </row>
    <row r="14" spans="1:19" ht="15" customHeight="1" x14ac:dyDescent="0.25">
      <c r="A14" s="225" t="s">
        <v>324</v>
      </c>
      <c r="B14" s="1435" t="s">
        <v>329</v>
      </c>
      <c r="C14" s="1436"/>
      <c r="D14" s="1436"/>
      <c r="E14" s="1436"/>
      <c r="F14" s="1437"/>
      <c r="G14" s="226"/>
      <c r="H14" s="95"/>
      <c r="I14" s="96"/>
      <c r="J14" s="228"/>
      <c r="L14" s="1387"/>
      <c r="M14" s="1387"/>
      <c r="N14" s="1387"/>
      <c r="O14" s="1387"/>
      <c r="P14" s="1387"/>
      <c r="Q14" s="1387"/>
      <c r="R14" s="1387"/>
      <c r="S14" s="1387"/>
    </row>
    <row r="15" spans="1:19" ht="15.15" customHeight="1" x14ac:dyDescent="0.25">
      <c r="A15" s="89" t="s">
        <v>325</v>
      </c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5000000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 t="s">
        <v>205</v>
      </c>
      <c r="B16" s="100"/>
      <c r="C16" s="1361" t="s">
        <v>326</v>
      </c>
      <c r="D16" s="1361"/>
      <c r="E16" s="102"/>
      <c r="F16" s="103"/>
      <c r="G16" s="190"/>
      <c r="H16" s="321"/>
      <c r="I16" s="105"/>
      <c r="J16" s="106">
        <f>SUM(J17:J18)</f>
        <v>5000000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4.1" customHeight="1" x14ac:dyDescent="0.25">
      <c r="A17" s="99"/>
      <c r="B17" s="100"/>
      <c r="C17" s="109" t="s">
        <v>123</v>
      </c>
      <c r="D17" s="101" t="s">
        <v>520</v>
      </c>
      <c r="E17" s="232" t="s">
        <v>50</v>
      </c>
      <c r="F17" s="103"/>
      <c r="G17" s="112">
        <v>5</v>
      </c>
      <c r="H17" s="322" t="s">
        <v>318</v>
      </c>
      <c r="I17" s="114">
        <v>100000</v>
      </c>
      <c r="J17" s="114">
        <f>I17*G17</f>
        <v>500000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ht="13.5" customHeight="1" x14ac:dyDescent="0.25">
      <c r="A18" s="107"/>
      <c r="B18" s="108"/>
      <c r="C18" s="109" t="s">
        <v>124</v>
      </c>
      <c r="D18" s="102" t="s">
        <v>997</v>
      </c>
      <c r="E18" s="232" t="s">
        <v>50</v>
      </c>
      <c r="F18" s="111"/>
      <c r="G18" s="125">
        <v>1</v>
      </c>
      <c r="H18" s="126" t="s">
        <v>235</v>
      </c>
      <c r="I18" s="106">
        <v>4500000</v>
      </c>
      <c r="J18" s="106">
        <f>I18*G18</f>
        <v>4500000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s="79" customFormat="1" ht="20.85" customHeight="1" x14ac:dyDescent="0.25">
      <c r="A19" s="127"/>
      <c r="B19" s="1357" t="s">
        <v>15</v>
      </c>
      <c r="C19" s="1358"/>
      <c r="D19" s="1358"/>
      <c r="E19" s="1358"/>
      <c r="F19" s="80"/>
      <c r="G19" s="1357"/>
      <c r="H19" s="1362"/>
      <c r="I19" s="127"/>
      <c r="J19" s="88">
        <f>J13</f>
        <v>5000000</v>
      </c>
    </row>
    <row r="20" spans="1:19" s="79" customFormat="1" ht="9.75" customHeight="1" x14ac:dyDescent="0.25">
      <c r="A20" s="128"/>
      <c r="B20" s="128"/>
      <c r="C20" s="129"/>
      <c r="D20" s="78"/>
      <c r="E20" s="78"/>
      <c r="F20" s="78"/>
      <c r="G20" s="78"/>
      <c r="H20" s="78"/>
      <c r="I20" s="128"/>
      <c r="J20" s="130"/>
    </row>
    <row r="21" spans="1:19" s="79" customFormat="1" ht="14.25" customHeight="1" x14ac:dyDescent="0.25">
      <c r="A21" s="131"/>
      <c r="B21" s="131"/>
      <c r="C21" s="109"/>
      <c r="D21" s="132"/>
      <c r="E21" s="132"/>
      <c r="F21" s="132"/>
      <c r="G21" s="1359" t="s">
        <v>1002</v>
      </c>
      <c r="H21" s="1360"/>
      <c r="I21" s="1360"/>
      <c r="J21" s="1360"/>
    </row>
    <row r="22" spans="1:19" s="133" customFormat="1" ht="15" customHeight="1" x14ac:dyDescent="0.25">
      <c r="A22" s="1356" t="s">
        <v>11</v>
      </c>
      <c r="B22" s="1356"/>
      <c r="C22" s="1356"/>
      <c r="D22" s="1356"/>
      <c r="E22" s="134"/>
      <c r="F22" s="134"/>
      <c r="G22" s="1356" t="s">
        <v>21</v>
      </c>
      <c r="H22" s="1356"/>
      <c r="I22" s="1356"/>
      <c r="J22" s="1356"/>
    </row>
    <row r="26" spans="1:19" s="74" customFormat="1" ht="10.199999999999999" x14ac:dyDescent="0.25">
      <c r="A26" s="1355" t="s">
        <v>1000</v>
      </c>
      <c r="B26" s="1355"/>
      <c r="C26" s="1355"/>
      <c r="D26" s="1355"/>
      <c r="G26" s="1355" t="s">
        <v>260</v>
      </c>
      <c r="H26" s="1355"/>
      <c r="I26" s="1355"/>
      <c r="J26" s="1355"/>
    </row>
  </sheetData>
  <mergeCells count="30">
    <mergeCell ref="A1:J1"/>
    <mergeCell ref="B15:D15"/>
    <mergeCell ref="D5:J5"/>
    <mergeCell ref="D9:J9"/>
    <mergeCell ref="G12:H12"/>
    <mergeCell ref="D7:J7"/>
    <mergeCell ref="G11:H11"/>
    <mergeCell ref="G10:J10"/>
    <mergeCell ref="D8:J8"/>
    <mergeCell ref="A2:J2"/>
    <mergeCell ref="B13:F13"/>
    <mergeCell ref="M3:N3"/>
    <mergeCell ref="B14:F14"/>
    <mergeCell ref="L2:N2"/>
    <mergeCell ref="B12:F12"/>
    <mergeCell ref="A10:A11"/>
    <mergeCell ref="M4:N4"/>
    <mergeCell ref="B10:F11"/>
    <mergeCell ref="D6:J6"/>
    <mergeCell ref="M5:N5"/>
    <mergeCell ref="A3:J3"/>
    <mergeCell ref="G26:J26"/>
    <mergeCell ref="L13:S18"/>
    <mergeCell ref="A26:D26"/>
    <mergeCell ref="G22:J22"/>
    <mergeCell ref="G21:J21"/>
    <mergeCell ref="A22:D22"/>
    <mergeCell ref="G19:H19"/>
    <mergeCell ref="B19:E19"/>
    <mergeCell ref="C16:D16"/>
  </mergeCells>
  <pageMargins left="0.8" right="0.65" top="0.68" bottom="0.75" header="0.3" footer="0.3"/>
  <pageSetup paperSize="14" fitToWidth="0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S25"/>
  <sheetViews>
    <sheetView zoomScale="180" workbookViewId="0">
      <selection activeCell="G20" sqref="G20:J20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7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J17</f>
        <v>7000000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25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332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333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7000000</v>
      </c>
      <c r="L13" s="1387" t="s">
        <v>334</v>
      </c>
      <c r="M13" s="1387"/>
      <c r="N13" s="1387"/>
      <c r="O13" s="1387"/>
      <c r="P13" s="1387"/>
      <c r="Q13" s="1387"/>
      <c r="R13" s="1387"/>
      <c r="S13" s="1387"/>
    </row>
    <row r="14" spans="1:19" ht="15" customHeight="1" x14ac:dyDescent="0.25">
      <c r="A14" s="225" t="s">
        <v>324</v>
      </c>
      <c r="B14" s="1435" t="s">
        <v>329</v>
      </c>
      <c r="C14" s="1436"/>
      <c r="D14" s="1436"/>
      <c r="E14" s="1436"/>
      <c r="F14" s="1437"/>
      <c r="G14" s="226"/>
      <c r="H14" s="95"/>
      <c r="I14" s="96"/>
      <c r="J14" s="228"/>
      <c r="L14" s="1387"/>
      <c r="M14" s="1387"/>
      <c r="N14" s="1387"/>
      <c r="O14" s="1387"/>
      <c r="P14" s="1387"/>
      <c r="Q14" s="1387"/>
      <c r="R14" s="1387"/>
      <c r="S14" s="1387"/>
    </row>
    <row r="15" spans="1:19" ht="15.15" customHeight="1" x14ac:dyDescent="0.25">
      <c r="A15" s="89" t="s">
        <v>325</v>
      </c>
      <c r="B15" s="1371" t="s">
        <v>672</v>
      </c>
      <c r="C15" s="1372"/>
      <c r="D15" s="1372"/>
      <c r="E15" s="92"/>
      <c r="F15" s="93"/>
      <c r="G15" s="94"/>
      <c r="H15" s="95"/>
      <c r="I15" s="96"/>
      <c r="J15" s="97">
        <f>J16</f>
        <v>7000000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 t="s">
        <v>205</v>
      </c>
      <c r="B16" s="100"/>
      <c r="C16" s="1361" t="s">
        <v>207</v>
      </c>
      <c r="D16" s="1361"/>
      <c r="E16" s="102"/>
      <c r="F16" s="103"/>
      <c r="G16" s="104"/>
      <c r="H16" s="95"/>
      <c r="I16" s="105"/>
      <c r="J16" s="106">
        <f>SUM(J17:J17)</f>
        <v>7000000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ht="13.5" customHeight="1" x14ac:dyDescent="0.25">
      <c r="A17" s="107"/>
      <c r="B17" s="108"/>
      <c r="C17" s="109" t="s">
        <v>123</v>
      </c>
      <c r="D17" s="102" t="s">
        <v>1042</v>
      </c>
      <c r="E17" s="110" t="s">
        <v>50</v>
      </c>
      <c r="F17" s="111"/>
      <c r="G17" s="112">
        <v>70</v>
      </c>
      <c r="H17" s="113" t="s">
        <v>318</v>
      </c>
      <c r="I17" s="114">
        <v>100000</v>
      </c>
      <c r="J17" s="114">
        <f>I17*G17</f>
        <v>7000000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s="79" customFormat="1" ht="20.85" customHeight="1" x14ac:dyDescent="0.25">
      <c r="A18" s="127"/>
      <c r="B18" s="1357" t="s">
        <v>15</v>
      </c>
      <c r="C18" s="1358"/>
      <c r="D18" s="1358"/>
      <c r="E18" s="1358"/>
      <c r="F18" s="80"/>
      <c r="G18" s="1357"/>
      <c r="H18" s="1362"/>
      <c r="I18" s="127"/>
      <c r="J18" s="88">
        <f>J13</f>
        <v>7000000</v>
      </c>
    </row>
    <row r="19" spans="1:19" s="79" customFormat="1" ht="9.75" customHeight="1" x14ac:dyDescent="0.25">
      <c r="A19" s="128"/>
      <c r="B19" s="128"/>
      <c r="C19" s="129"/>
      <c r="D19" s="78"/>
      <c r="E19" s="78"/>
      <c r="F19" s="78"/>
      <c r="G19" s="78"/>
      <c r="H19" s="78"/>
      <c r="I19" s="128"/>
      <c r="J19" s="130"/>
    </row>
    <row r="20" spans="1:19" s="79" customFormat="1" ht="14.25" customHeight="1" x14ac:dyDescent="0.25">
      <c r="A20" s="131"/>
      <c r="B20" s="131"/>
      <c r="C20" s="109"/>
      <c r="D20" s="132"/>
      <c r="E20" s="132"/>
      <c r="F20" s="132"/>
      <c r="G20" s="1359" t="s">
        <v>1002</v>
      </c>
      <c r="H20" s="1360"/>
      <c r="I20" s="1360"/>
      <c r="J20" s="1360"/>
    </row>
    <row r="21" spans="1:19" s="133" customFormat="1" ht="15" customHeight="1" x14ac:dyDescent="0.25">
      <c r="A21" s="1356" t="s">
        <v>11</v>
      </c>
      <c r="B21" s="1356"/>
      <c r="C21" s="1356"/>
      <c r="D21" s="1356"/>
      <c r="E21" s="134"/>
      <c r="F21" s="134"/>
      <c r="G21" s="1356" t="s">
        <v>21</v>
      </c>
      <c r="H21" s="1356"/>
      <c r="I21" s="1356"/>
      <c r="J21" s="1356"/>
    </row>
    <row r="25" spans="1:19" s="74" customFormat="1" ht="10.199999999999999" x14ac:dyDescent="0.25">
      <c r="A25" s="1355" t="s">
        <v>1000</v>
      </c>
      <c r="B25" s="1355"/>
      <c r="C25" s="1355"/>
      <c r="D25" s="1355"/>
      <c r="G25" s="1355" t="s">
        <v>260</v>
      </c>
      <c r="H25" s="1355"/>
      <c r="I25" s="1355"/>
      <c r="J25" s="1355"/>
    </row>
  </sheetData>
  <mergeCells count="29">
    <mergeCell ref="A1:J1"/>
    <mergeCell ref="B14:F14"/>
    <mergeCell ref="B15:D15"/>
    <mergeCell ref="D7:J7"/>
    <mergeCell ref="A10:A11"/>
    <mergeCell ref="D6:J6"/>
    <mergeCell ref="B13:F13"/>
    <mergeCell ref="B12:F12"/>
    <mergeCell ref="G12:H12"/>
    <mergeCell ref="D9:J9"/>
    <mergeCell ref="G10:J10"/>
    <mergeCell ref="D8:J8"/>
    <mergeCell ref="B10:F11"/>
    <mergeCell ref="L2:N2"/>
    <mergeCell ref="B18:E18"/>
    <mergeCell ref="A3:J3"/>
    <mergeCell ref="A25:D25"/>
    <mergeCell ref="M3:N3"/>
    <mergeCell ref="A2:J2"/>
    <mergeCell ref="A21:D21"/>
    <mergeCell ref="D5:J5"/>
    <mergeCell ref="C16:D16"/>
    <mergeCell ref="M4:N4"/>
    <mergeCell ref="L13:S17"/>
    <mergeCell ref="G25:J25"/>
    <mergeCell ref="G11:H11"/>
    <mergeCell ref="G20:J20"/>
    <mergeCell ref="G21:J21"/>
    <mergeCell ref="G18:H18"/>
  </mergeCells>
  <pageMargins left="0.8" right="0.65" top="0.68" bottom="0.75" header="0.3" footer="0.3"/>
  <pageSetup paperSize="14" fitToWidth="0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A1:S32"/>
  <sheetViews>
    <sheetView zoomScale="150" zoomScaleNormal="150" workbookViewId="0">
      <selection activeCell="M4" sqref="M4:N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6.33203125" style="324" customWidth="1"/>
    <col min="9" max="9" width="10.77734375" style="395" customWidth="1"/>
    <col min="10" max="10" width="14.33203125" style="395" customWidth="1"/>
    <col min="11" max="11" width="9.33203125" style="72"/>
    <col min="12" max="12" width="10" style="72" customWidth="1"/>
    <col min="13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J25</f>
        <v>4750000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361"/>
      <c r="I4" s="387"/>
      <c r="J4" s="387"/>
      <c r="L4" s="74" t="s">
        <v>668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781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145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388" t="s">
        <v>14</v>
      </c>
      <c r="J11" s="399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389">
        <v>4</v>
      </c>
      <c r="J12" s="389">
        <v>5</v>
      </c>
    </row>
    <row r="13" spans="1:19" ht="16.5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390"/>
      <c r="J13" s="400">
        <f>SUM(J22+J20+J18+J16)</f>
        <v>4750000</v>
      </c>
      <c r="L13" s="1387"/>
      <c r="M13" s="1387"/>
      <c r="N13" s="1387"/>
      <c r="O13" s="1387"/>
      <c r="P13" s="1387"/>
      <c r="Q13" s="1387"/>
      <c r="R13" s="1387"/>
      <c r="S13" s="1387"/>
    </row>
    <row r="14" spans="1:19" ht="15" customHeight="1" x14ac:dyDescent="0.25">
      <c r="A14" s="225" t="s">
        <v>324</v>
      </c>
      <c r="B14" s="1435" t="s">
        <v>329</v>
      </c>
      <c r="C14" s="1436"/>
      <c r="D14" s="1436"/>
      <c r="E14" s="1436"/>
      <c r="F14" s="1437"/>
      <c r="G14" s="226"/>
      <c r="H14" s="95"/>
      <c r="I14" s="391"/>
      <c r="J14" s="401"/>
      <c r="L14" s="1387"/>
      <c r="M14" s="1387"/>
      <c r="N14" s="1387"/>
      <c r="O14" s="1387"/>
      <c r="P14" s="1387"/>
      <c r="Q14" s="1387"/>
      <c r="R14" s="1387"/>
      <c r="S14" s="1387"/>
    </row>
    <row r="15" spans="1:19" ht="15.15" customHeight="1" x14ac:dyDescent="0.25">
      <c r="A15" s="89" t="s">
        <v>266</v>
      </c>
      <c r="B15" s="1371" t="s">
        <v>267</v>
      </c>
      <c r="C15" s="1372"/>
      <c r="D15" s="1372"/>
      <c r="E15" s="1372"/>
      <c r="F15" s="1423"/>
      <c r="G15" s="94"/>
      <c r="H15" s="95"/>
      <c r="I15" s="391"/>
      <c r="J15" s="402"/>
      <c r="L15" s="1387"/>
      <c r="M15" s="1387"/>
      <c r="N15" s="1387"/>
      <c r="O15" s="1387"/>
      <c r="P15" s="1387"/>
      <c r="Q15" s="1387"/>
      <c r="R15" s="1387"/>
      <c r="S15" s="1387"/>
    </row>
    <row r="16" spans="1:19" x14ac:dyDescent="0.25">
      <c r="A16" s="225"/>
      <c r="B16" s="226"/>
      <c r="C16" s="1642" t="s">
        <v>786</v>
      </c>
      <c r="D16" s="1436"/>
      <c r="E16" s="384"/>
      <c r="F16" s="349"/>
      <c r="G16" s="226"/>
      <c r="H16" s="95"/>
      <c r="I16" s="391"/>
      <c r="J16" s="401">
        <v>1200000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x14ac:dyDescent="0.25">
      <c r="A17" s="225"/>
      <c r="B17" s="226"/>
      <c r="C17" s="385" t="s">
        <v>123</v>
      </c>
      <c r="D17" s="357" t="s">
        <v>787</v>
      </c>
      <c r="E17" s="110" t="s">
        <v>50</v>
      </c>
      <c r="F17" s="396"/>
      <c r="G17" s="896">
        <v>45</v>
      </c>
      <c r="H17" s="1170" t="s">
        <v>670</v>
      </c>
      <c r="I17" s="1167">
        <v>30000</v>
      </c>
      <c r="J17" s="1172">
        <f>I17*G17</f>
        <v>1350000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x14ac:dyDescent="0.25">
      <c r="A18" s="225"/>
      <c r="B18" s="226"/>
      <c r="C18" s="1642" t="s">
        <v>789</v>
      </c>
      <c r="D18" s="1436"/>
      <c r="E18" s="384"/>
      <c r="F18" s="384"/>
      <c r="G18" s="1173"/>
      <c r="H18" s="1174"/>
      <c r="I18" s="1175"/>
      <c r="J18" s="1176">
        <v>2000000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x14ac:dyDescent="0.25">
      <c r="A19" s="225"/>
      <c r="B19" s="226"/>
      <c r="C19" s="385" t="s">
        <v>123</v>
      </c>
      <c r="D19" s="357" t="s">
        <v>788</v>
      </c>
      <c r="E19" s="110" t="s">
        <v>50</v>
      </c>
      <c r="F19" s="396"/>
      <c r="G19" s="896">
        <v>40</v>
      </c>
      <c r="H19" s="1170" t="s">
        <v>458</v>
      </c>
      <c r="I19" s="1167">
        <v>50000</v>
      </c>
      <c r="J19" s="1172">
        <f>I19*G19</f>
        <v>2000000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x14ac:dyDescent="0.25">
      <c r="A20" s="225"/>
      <c r="B20" s="226"/>
      <c r="C20" s="1643" t="s">
        <v>790</v>
      </c>
      <c r="D20" s="1643"/>
      <c r="E20" s="384"/>
      <c r="F20" s="384"/>
      <c r="G20" s="1177"/>
      <c r="H20" s="1178"/>
      <c r="I20" s="1166"/>
      <c r="J20" s="1179">
        <v>1000000</v>
      </c>
      <c r="L20" s="1387"/>
      <c r="M20" s="1387"/>
      <c r="N20" s="1387"/>
      <c r="O20" s="1387"/>
      <c r="P20" s="1387"/>
      <c r="Q20" s="1387"/>
      <c r="R20" s="1387"/>
      <c r="S20" s="1387"/>
    </row>
    <row r="21" spans="1:19" x14ac:dyDescent="0.25">
      <c r="A21" s="225"/>
      <c r="B21" s="226"/>
      <c r="C21" s="385" t="s">
        <v>123</v>
      </c>
      <c r="D21" s="101" t="s">
        <v>1043</v>
      </c>
      <c r="E21" s="110" t="s">
        <v>50</v>
      </c>
      <c r="F21" s="396"/>
      <c r="G21" s="896">
        <v>2</v>
      </c>
      <c r="H21" s="1170" t="s">
        <v>458</v>
      </c>
      <c r="I21" s="1167">
        <v>500000</v>
      </c>
      <c r="J21" s="1172">
        <f>I21*G21</f>
        <v>1000000</v>
      </c>
      <c r="L21" s="1387"/>
      <c r="M21" s="1387"/>
      <c r="N21" s="1387"/>
      <c r="O21" s="1387"/>
      <c r="P21" s="1387"/>
      <c r="Q21" s="1387"/>
      <c r="R21" s="1387"/>
      <c r="S21" s="1387"/>
    </row>
    <row r="22" spans="1:19" ht="14.1" customHeight="1" x14ac:dyDescent="0.25">
      <c r="A22" s="99" t="s">
        <v>268</v>
      </c>
      <c r="B22" s="100"/>
      <c r="C22" s="1436" t="s">
        <v>677</v>
      </c>
      <c r="D22" s="1436"/>
      <c r="E22" s="1436"/>
      <c r="F22" s="103"/>
      <c r="G22" s="893"/>
      <c r="H22" s="892"/>
      <c r="I22" s="1166"/>
      <c r="J22" s="401">
        <f>SUM(J23:J24)</f>
        <v>550000</v>
      </c>
      <c r="L22" s="1387"/>
      <c r="M22" s="1387"/>
      <c r="N22" s="1387"/>
      <c r="O22" s="1387"/>
      <c r="P22" s="1387"/>
      <c r="Q22" s="1387"/>
      <c r="R22" s="1387"/>
      <c r="S22" s="1387"/>
    </row>
    <row r="23" spans="1:19" ht="14.1" customHeight="1" x14ac:dyDescent="0.25">
      <c r="A23" s="99"/>
      <c r="B23" s="100"/>
      <c r="C23" s="378" t="s">
        <v>123</v>
      </c>
      <c r="D23" s="352" t="s">
        <v>791</v>
      </c>
      <c r="E23" s="110" t="s">
        <v>50</v>
      </c>
      <c r="F23" s="110"/>
      <c r="G23" s="1168">
        <v>1</v>
      </c>
      <c r="H23" s="1169" t="s">
        <v>318</v>
      </c>
      <c r="I23" s="1166">
        <v>150000</v>
      </c>
      <c r="J23" s="1155">
        <f>I23*G23</f>
        <v>150000</v>
      </c>
      <c r="L23" s="1387"/>
      <c r="M23" s="1387"/>
      <c r="N23" s="1387"/>
      <c r="O23" s="1387"/>
      <c r="P23" s="1387"/>
      <c r="Q23" s="1387"/>
      <c r="R23" s="1387"/>
      <c r="S23" s="1387"/>
    </row>
    <row r="24" spans="1:19" ht="13.5" customHeight="1" x14ac:dyDescent="0.25">
      <c r="A24" s="107"/>
      <c r="B24" s="108"/>
      <c r="C24" s="378" t="s">
        <v>124</v>
      </c>
      <c r="D24" s="352" t="s">
        <v>792</v>
      </c>
      <c r="E24" s="110" t="s">
        <v>50</v>
      </c>
      <c r="F24" s="110"/>
      <c r="G24" s="1157">
        <v>40</v>
      </c>
      <c r="H24" s="1163" t="s">
        <v>793</v>
      </c>
      <c r="I24" s="1171">
        <v>10000</v>
      </c>
      <c r="J24" s="1156">
        <f>I24*G24</f>
        <v>400000</v>
      </c>
      <c r="L24" s="1387"/>
      <c r="M24" s="1387"/>
      <c r="N24" s="1387"/>
      <c r="O24" s="1387"/>
      <c r="P24" s="1387"/>
      <c r="Q24" s="1387"/>
      <c r="R24" s="1387"/>
      <c r="S24" s="1387"/>
    </row>
    <row r="25" spans="1:19" s="79" customFormat="1" ht="20.85" customHeight="1" x14ac:dyDescent="0.25">
      <c r="A25" s="127"/>
      <c r="B25" s="1357" t="s">
        <v>15</v>
      </c>
      <c r="C25" s="1358"/>
      <c r="D25" s="1358"/>
      <c r="E25" s="1358"/>
      <c r="F25" s="80"/>
      <c r="G25" s="1383"/>
      <c r="H25" s="1644"/>
      <c r="I25" s="398"/>
      <c r="J25" s="405">
        <f>SUM(J16+J18+J20+J22)</f>
        <v>4750000</v>
      </c>
    </row>
    <row r="26" spans="1:19" s="79" customFormat="1" ht="9.75" customHeight="1" x14ac:dyDescent="0.25">
      <c r="A26" s="128"/>
      <c r="B26" s="128"/>
      <c r="C26" s="129"/>
      <c r="D26" s="78"/>
      <c r="E26" s="78"/>
      <c r="F26" s="78"/>
      <c r="G26" s="78"/>
      <c r="H26" s="397"/>
      <c r="I26" s="394"/>
      <c r="J26" s="406"/>
    </row>
    <row r="27" spans="1:19" s="79" customFormat="1" ht="14.25" customHeight="1" x14ac:dyDescent="0.25">
      <c r="A27" s="131"/>
      <c r="B27" s="131"/>
      <c r="C27" s="109"/>
      <c r="D27" s="132"/>
      <c r="E27" s="132"/>
      <c r="F27" s="132"/>
      <c r="G27" s="1359" t="s">
        <v>1002</v>
      </c>
      <c r="H27" s="1360"/>
      <c r="I27" s="1360"/>
      <c r="J27" s="1360"/>
    </row>
    <row r="28" spans="1:19" s="133" customFormat="1" ht="15" customHeight="1" x14ac:dyDescent="0.25">
      <c r="A28" s="1356" t="s">
        <v>11</v>
      </c>
      <c r="B28" s="1356"/>
      <c r="C28" s="1356"/>
      <c r="D28" s="1356"/>
      <c r="E28" s="134"/>
      <c r="F28" s="134"/>
      <c r="G28" s="1356" t="s">
        <v>21</v>
      </c>
      <c r="H28" s="1356"/>
      <c r="I28" s="1356"/>
      <c r="J28" s="1356"/>
    </row>
    <row r="29" spans="1:19" x14ac:dyDescent="0.25">
      <c r="H29" s="72"/>
      <c r="I29" s="72"/>
      <c r="J29" s="72"/>
    </row>
    <row r="30" spans="1:19" x14ac:dyDescent="0.25">
      <c r="H30" s="72"/>
      <c r="I30" s="72"/>
      <c r="J30" s="72"/>
    </row>
    <row r="31" spans="1:19" x14ac:dyDescent="0.25">
      <c r="H31" s="72"/>
      <c r="I31" s="72"/>
      <c r="J31" s="72"/>
    </row>
    <row r="32" spans="1:19" s="74" customFormat="1" ht="10.199999999999999" x14ac:dyDescent="0.25">
      <c r="A32" s="1355" t="s">
        <v>1000</v>
      </c>
      <c r="B32" s="1355"/>
      <c r="C32" s="1355"/>
      <c r="D32" s="1355"/>
      <c r="G32" s="1355" t="s">
        <v>260</v>
      </c>
      <c r="H32" s="1355"/>
      <c r="I32" s="1355"/>
      <c r="J32" s="1355"/>
    </row>
  </sheetData>
  <mergeCells count="32">
    <mergeCell ref="A1:J1"/>
    <mergeCell ref="A32:D32"/>
    <mergeCell ref="G10:J10"/>
    <mergeCell ref="G28:J28"/>
    <mergeCell ref="A10:A11"/>
    <mergeCell ref="D5:J5"/>
    <mergeCell ref="C22:E22"/>
    <mergeCell ref="A2:J2"/>
    <mergeCell ref="B25:E25"/>
    <mergeCell ref="D8:J8"/>
    <mergeCell ref="B13:F13"/>
    <mergeCell ref="G11:H11"/>
    <mergeCell ref="C18:D18"/>
    <mergeCell ref="D9:J9"/>
    <mergeCell ref="B12:F12"/>
    <mergeCell ref="A28:D28"/>
    <mergeCell ref="G32:J32"/>
    <mergeCell ref="C20:D20"/>
    <mergeCell ref="G27:J27"/>
    <mergeCell ref="G12:H12"/>
    <mergeCell ref="G25:H25"/>
    <mergeCell ref="L2:N2"/>
    <mergeCell ref="A3:J3"/>
    <mergeCell ref="M4:N4"/>
    <mergeCell ref="L13:S24"/>
    <mergeCell ref="M3:N3"/>
    <mergeCell ref="D6:J6"/>
    <mergeCell ref="B10:F11"/>
    <mergeCell ref="D7:J7"/>
    <mergeCell ref="B14:F14"/>
    <mergeCell ref="B15:F15"/>
    <mergeCell ref="C16:D16"/>
  </mergeCells>
  <phoneticPr fontId="69" type="noConversion"/>
  <pageMargins left="0.8" right="0.65" top="0.68" bottom="0.75" header="0.3" footer="0.3"/>
  <pageSetup paperSize="14" fitToWidth="0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S34"/>
  <sheetViews>
    <sheetView zoomScale="140" zoomScaleNormal="140" workbookViewId="0">
      <selection activeCell="O9" sqref="O9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39" t="s">
        <v>50</v>
      </c>
      <c r="M3" s="1366">
        <f>J13</f>
        <v>5290000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54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375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337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5290000</v>
      </c>
      <c r="L13" s="1387"/>
      <c r="M13" s="1387"/>
      <c r="N13" s="1387"/>
      <c r="O13" s="1387"/>
      <c r="P13" s="1387"/>
      <c r="Q13" s="1387"/>
      <c r="R13" s="1387"/>
      <c r="S13" s="1387"/>
    </row>
    <row r="14" spans="1:19" ht="15" customHeight="1" x14ac:dyDescent="0.25">
      <c r="A14" s="225" t="s">
        <v>324</v>
      </c>
      <c r="B14" s="1435" t="s">
        <v>329</v>
      </c>
      <c r="C14" s="1436"/>
      <c r="D14" s="1436"/>
      <c r="E14" s="1436"/>
      <c r="F14" s="1437"/>
      <c r="G14" s="226"/>
      <c r="H14" s="95"/>
      <c r="I14" s="96"/>
      <c r="J14" s="228"/>
      <c r="L14" s="1387"/>
      <c r="M14" s="1387"/>
      <c r="N14" s="1387"/>
      <c r="O14" s="1387"/>
      <c r="P14" s="1387"/>
      <c r="Q14" s="1387"/>
      <c r="R14" s="1387"/>
      <c r="S14" s="1387"/>
    </row>
    <row r="15" spans="1:19" ht="15.15" customHeight="1" x14ac:dyDescent="0.25">
      <c r="A15" s="89" t="s">
        <v>325</v>
      </c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J16+J25</f>
        <v>5290000</v>
      </c>
      <c r="L15" s="1387"/>
      <c r="M15" s="1387"/>
      <c r="N15" s="1387"/>
      <c r="O15" s="1387"/>
      <c r="P15" s="1387"/>
      <c r="Q15" s="1387"/>
      <c r="R15" s="1387"/>
      <c r="S15" s="1387"/>
    </row>
    <row r="16" spans="1:19" ht="14.1" customHeight="1" x14ac:dyDescent="0.25">
      <c r="A16" s="99" t="s">
        <v>205</v>
      </c>
      <c r="B16" s="100"/>
      <c r="C16" s="1361" t="s">
        <v>677</v>
      </c>
      <c r="D16" s="1361"/>
      <c r="E16" s="102"/>
      <c r="F16" s="103"/>
      <c r="G16" s="1158"/>
      <c r="H16" s="1159"/>
      <c r="I16" s="1180"/>
      <c r="J16" s="1181">
        <f>SUM(J17:J24)</f>
        <v>790000</v>
      </c>
      <c r="L16" s="1387"/>
      <c r="M16" s="1387"/>
      <c r="N16" s="1387"/>
      <c r="O16" s="1387"/>
      <c r="P16" s="1387"/>
      <c r="Q16" s="1387"/>
      <c r="R16" s="1387"/>
      <c r="S16" s="1387"/>
    </row>
    <row r="17" spans="1:19" customFormat="1" x14ac:dyDescent="0.25">
      <c r="A17" s="99"/>
      <c r="B17" s="100"/>
      <c r="C17" s="109" t="s">
        <v>123</v>
      </c>
      <c r="D17" s="102" t="s">
        <v>473</v>
      </c>
      <c r="E17" s="110" t="s">
        <v>50</v>
      </c>
      <c r="F17" s="111"/>
      <c r="G17" s="116">
        <v>5</v>
      </c>
      <c r="H17" s="117" t="s">
        <v>501</v>
      </c>
      <c r="I17" s="118">
        <v>35000</v>
      </c>
      <c r="J17" s="184">
        <f t="shared" ref="J17:J24" si="0">I17*G17</f>
        <v>175000</v>
      </c>
      <c r="L17" s="1387"/>
      <c r="M17" s="1387"/>
      <c r="N17" s="1387"/>
      <c r="O17" s="1387"/>
      <c r="P17" s="1387"/>
      <c r="Q17" s="1387"/>
      <c r="R17" s="1387"/>
      <c r="S17" s="1387"/>
    </row>
    <row r="18" spans="1:19" customFormat="1" x14ac:dyDescent="0.25">
      <c r="A18" s="99"/>
      <c r="B18" s="100"/>
      <c r="C18" s="109" t="s">
        <v>124</v>
      </c>
      <c r="D18" s="102" t="s">
        <v>490</v>
      </c>
      <c r="E18" s="110" t="s">
        <v>50</v>
      </c>
      <c r="F18" s="111"/>
      <c r="G18" s="116">
        <v>3</v>
      </c>
      <c r="H18" s="117" t="s">
        <v>501</v>
      </c>
      <c r="I18" s="118">
        <v>25000</v>
      </c>
      <c r="J18" s="184">
        <f t="shared" si="0"/>
        <v>75000</v>
      </c>
      <c r="L18" s="1387"/>
      <c r="M18" s="1387"/>
      <c r="N18" s="1387"/>
      <c r="O18" s="1387"/>
      <c r="P18" s="1387"/>
      <c r="Q18" s="1387"/>
      <c r="R18" s="1387"/>
      <c r="S18" s="1387"/>
    </row>
    <row r="19" spans="1:19" customFormat="1" x14ac:dyDescent="0.25">
      <c r="A19" s="99"/>
      <c r="B19" s="100"/>
      <c r="C19" s="109" t="s">
        <v>125</v>
      </c>
      <c r="D19" s="102" t="s">
        <v>506</v>
      </c>
      <c r="E19" s="110" t="s">
        <v>50</v>
      </c>
      <c r="F19" s="111"/>
      <c r="G19" s="116">
        <v>2</v>
      </c>
      <c r="H19" s="117" t="s">
        <v>318</v>
      </c>
      <c r="I19" s="118">
        <v>25000</v>
      </c>
      <c r="J19" s="184">
        <f t="shared" si="0"/>
        <v>50000</v>
      </c>
      <c r="L19" s="1387"/>
      <c r="M19" s="1387"/>
      <c r="N19" s="1387"/>
      <c r="O19" s="1387"/>
      <c r="P19" s="1387"/>
      <c r="Q19" s="1387"/>
      <c r="R19" s="1387"/>
      <c r="S19" s="1387"/>
    </row>
    <row r="20" spans="1:19" customFormat="1" x14ac:dyDescent="0.25">
      <c r="A20" s="99"/>
      <c r="B20" s="100"/>
      <c r="C20" s="109" t="s">
        <v>126</v>
      </c>
      <c r="D20" s="102" t="s">
        <v>474</v>
      </c>
      <c r="E20" s="110" t="s">
        <v>50</v>
      </c>
      <c r="F20" s="111"/>
      <c r="G20" s="116">
        <v>1</v>
      </c>
      <c r="H20" s="117" t="s">
        <v>501</v>
      </c>
      <c r="I20" s="118">
        <v>50000</v>
      </c>
      <c r="J20" s="184">
        <f t="shared" si="0"/>
        <v>50000</v>
      </c>
      <c r="L20" s="1387"/>
      <c r="M20" s="1387"/>
      <c r="N20" s="1387"/>
      <c r="O20" s="1387"/>
      <c r="P20" s="1387"/>
      <c r="Q20" s="1387"/>
      <c r="R20" s="1387"/>
      <c r="S20" s="1387"/>
    </row>
    <row r="21" spans="1:19" customFormat="1" x14ac:dyDescent="0.25">
      <c r="A21" s="99"/>
      <c r="B21" s="100"/>
      <c r="C21" s="109" t="s">
        <v>127</v>
      </c>
      <c r="D21" s="102" t="s">
        <v>489</v>
      </c>
      <c r="E21" s="110" t="s">
        <v>50</v>
      </c>
      <c r="F21" s="111"/>
      <c r="G21" s="116">
        <v>3</v>
      </c>
      <c r="H21" s="117" t="s">
        <v>501</v>
      </c>
      <c r="I21" s="118">
        <v>20000</v>
      </c>
      <c r="J21" s="184">
        <f t="shared" si="0"/>
        <v>60000</v>
      </c>
      <c r="L21" s="1387"/>
      <c r="M21" s="1387"/>
      <c r="N21" s="1387"/>
      <c r="O21" s="1387"/>
      <c r="P21" s="1387"/>
      <c r="Q21" s="1387"/>
      <c r="R21" s="1387"/>
      <c r="S21" s="1387"/>
    </row>
    <row r="22" spans="1:19" customFormat="1" x14ac:dyDescent="0.25">
      <c r="A22" s="99"/>
      <c r="B22" s="100"/>
      <c r="C22" s="109" t="s">
        <v>128</v>
      </c>
      <c r="D22" s="102" t="s">
        <v>678</v>
      </c>
      <c r="E22" s="110" t="s">
        <v>50</v>
      </c>
      <c r="F22" s="111"/>
      <c r="G22" s="116">
        <v>2</v>
      </c>
      <c r="H22" s="117" t="s">
        <v>501</v>
      </c>
      <c r="I22" s="118">
        <v>40000</v>
      </c>
      <c r="J22" s="184">
        <f t="shared" si="0"/>
        <v>80000</v>
      </c>
      <c r="L22" s="1387"/>
      <c r="M22" s="1387"/>
      <c r="N22" s="1387"/>
      <c r="O22" s="1387"/>
      <c r="P22" s="1387"/>
      <c r="Q22" s="1387"/>
      <c r="R22" s="1387"/>
      <c r="S22" s="1387"/>
    </row>
    <row r="23" spans="1:19" customFormat="1" x14ac:dyDescent="0.25">
      <c r="A23" s="99"/>
      <c r="B23" s="100"/>
      <c r="C23" s="109" t="s">
        <v>270</v>
      </c>
      <c r="D23" s="102" t="s">
        <v>679</v>
      </c>
      <c r="E23" s="110" t="s">
        <v>50</v>
      </c>
      <c r="F23" s="111"/>
      <c r="G23" s="116">
        <v>5</v>
      </c>
      <c r="H23" s="117" t="s">
        <v>501</v>
      </c>
      <c r="I23" s="118">
        <v>40000</v>
      </c>
      <c r="J23" s="184">
        <f t="shared" si="0"/>
        <v>200000</v>
      </c>
      <c r="L23" s="1387"/>
      <c r="M23" s="1387"/>
      <c r="N23" s="1387"/>
      <c r="O23" s="1387"/>
      <c r="P23" s="1387"/>
      <c r="Q23" s="1387"/>
      <c r="R23" s="1387"/>
      <c r="S23" s="1387"/>
    </row>
    <row r="24" spans="1:19" customFormat="1" x14ac:dyDescent="0.25">
      <c r="A24" s="99"/>
      <c r="B24" s="100"/>
      <c r="C24" s="109" t="s">
        <v>283</v>
      </c>
      <c r="D24" s="102" t="s">
        <v>680</v>
      </c>
      <c r="E24" s="110" t="s">
        <v>50</v>
      </c>
      <c r="F24" s="111"/>
      <c r="G24" s="116">
        <v>1</v>
      </c>
      <c r="H24" s="117" t="s">
        <v>318</v>
      </c>
      <c r="I24" s="118">
        <v>100000</v>
      </c>
      <c r="J24" s="184">
        <f t="shared" si="0"/>
        <v>100000</v>
      </c>
      <c r="L24" s="1387"/>
      <c r="M24" s="1387"/>
      <c r="N24" s="1387"/>
      <c r="O24" s="1387"/>
      <c r="P24" s="1387"/>
      <c r="Q24" s="1387"/>
      <c r="R24" s="1387"/>
      <c r="S24" s="1387"/>
    </row>
    <row r="25" spans="1:19" customFormat="1" x14ac:dyDescent="0.25">
      <c r="A25" s="99"/>
      <c r="B25" s="100"/>
      <c r="C25" s="1424" t="s">
        <v>207</v>
      </c>
      <c r="D25" s="1424"/>
      <c r="E25" s="110"/>
      <c r="F25" s="111"/>
      <c r="G25" s="116"/>
      <c r="H25" s="117"/>
      <c r="I25" s="118"/>
      <c r="J25" s="184">
        <f>SUM(J26:J26)</f>
        <v>4500000</v>
      </c>
      <c r="L25" s="1387"/>
      <c r="M25" s="1387"/>
      <c r="N25" s="1387"/>
      <c r="O25" s="1387"/>
      <c r="P25" s="1387"/>
      <c r="Q25" s="1387"/>
      <c r="R25" s="1387"/>
      <c r="S25" s="1387"/>
    </row>
    <row r="26" spans="1:19" customFormat="1" ht="12.75" customHeight="1" x14ac:dyDescent="0.25">
      <c r="A26" s="99"/>
      <c r="B26" s="100"/>
      <c r="C26" s="109" t="s">
        <v>123</v>
      </c>
      <c r="D26" s="102" t="s">
        <v>681</v>
      </c>
      <c r="E26" s="110" t="s">
        <v>50</v>
      </c>
      <c r="F26" s="111"/>
      <c r="G26" s="125">
        <v>300</v>
      </c>
      <c r="H26" s="126" t="s">
        <v>670</v>
      </c>
      <c r="I26" s="106">
        <v>15000</v>
      </c>
      <c r="J26" s="188">
        <f>I26*G26</f>
        <v>4500000</v>
      </c>
      <c r="L26" s="1387"/>
      <c r="M26" s="1387"/>
      <c r="N26" s="1387"/>
      <c r="O26" s="1387"/>
      <c r="P26" s="1387"/>
      <c r="Q26" s="1387"/>
      <c r="R26" s="1387"/>
      <c r="S26" s="1387"/>
    </row>
    <row r="27" spans="1:19" s="79" customFormat="1" ht="20.85" customHeight="1" x14ac:dyDescent="0.25">
      <c r="A27" s="127"/>
      <c r="B27" s="1357" t="s">
        <v>15</v>
      </c>
      <c r="C27" s="1358"/>
      <c r="D27" s="1358"/>
      <c r="E27" s="1358"/>
      <c r="F27" s="80"/>
      <c r="G27" s="1357"/>
      <c r="H27" s="1362"/>
      <c r="I27" s="127"/>
      <c r="J27" s="88">
        <f>J13</f>
        <v>5290000</v>
      </c>
    </row>
    <row r="28" spans="1:19" s="79" customFormat="1" ht="9.75" customHeight="1" x14ac:dyDescent="0.25">
      <c r="A28" s="128"/>
      <c r="B28" s="128"/>
      <c r="C28" s="129"/>
      <c r="D28" s="78"/>
      <c r="E28" s="78"/>
      <c r="F28" s="78"/>
      <c r="G28" s="78"/>
      <c r="H28" s="78"/>
      <c r="I28" s="128"/>
      <c r="J28" s="130"/>
    </row>
    <row r="29" spans="1:19" s="79" customFormat="1" ht="14.25" customHeight="1" x14ac:dyDescent="0.25">
      <c r="A29" s="131"/>
      <c r="B29" s="131"/>
      <c r="C29" s="109"/>
      <c r="D29" s="132"/>
      <c r="E29" s="132"/>
      <c r="F29" s="132"/>
      <c r="G29" s="1359" t="s">
        <v>1002</v>
      </c>
      <c r="H29" s="1360"/>
      <c r="I29" s="1360"/>
      <c r="J29" s="1360"/>
    </row>
    <row r="30" spans="1:19" s="133" customFormat="1" ht="15" customHeight="1" x14ac:dyDescent="0.25">
      <c r="A30" s="1356" t="s">
        <v>11</v>
      </c>
      <c r="B30" s="1356"/>
      <c r="C30" s="1356"/>
      <c r="D30" s="1356"/>
      <c r="E30" s="134"/>
      <c r="F30" s="134"/>
      <c r="G30" s="1356" t="s">
        <v>21</v>
      </c>
      <c r="H30" s="1356"/>
      <c r="I30" s="1356"/>
      <c r="J30" s="1356"/>
    </row>
    <row r="34" spans="1:10" s="74" customFormat="1" ht="10.199999999999999" x14ac:dyDescent="0.25">
      <c r="A34" s="1355" t="s">
        <v>1000</v>
      </c>
      <c r="B34" s="1355"/>
      <c r="C34" s="1355"/>
      <c r="D34" s="1355"/>
      <c r="G34" s="1355" t="s">
        <v>260</v>
      </c>
      <c r="H34" s="1355"/>
      <c r="I34" s="1355"/>
      <c r="J34" s="1355"/>
    </row>
  </sheetData>
  <mergeCells count="30">
    <mergeCell ref="A1:J1"/>
    <mergeCell ref="B27:E27"/>
    <mergeCell ref="D5:J5"/>
    <mergeCell ref="M3:N3"/>
    <mergeCell ref="G29:J29"/>
    <mergeCell ref="A10:A11"/>
    <mergeCell ref="A2:J2"/>
    <mergeCell ref="B15:D15"/>
    <mergeCell ref="C16:D16"/>
    <mergeCell ref="D8:J8"/>
    <mergeCell ref="B13:F13"/>
    <mergeCell ref="D9:J9"/>
    <mergeCell ref="B10:F11"/>
    <mergeCell ref="B12:F12"/>
    <mergeCell ref="D6:J6"/>
    <mergeCell ref="B14:F14"/>
    <mergeCell ref="A34:D34"/>
    <mergeCell ref="G34:J34"/>
    <mergeCell ref="L13:S26"/>
    <mergeCell ref="L2:N2"/>
    <mergeCell ref="C25:D25"/>
    <mergeCell ref="G27:H27"/>
    <mergeCell ref="A3:J3"/>
    <mergeCell ref="G30:J30"/>
    <mergeCell ref="A30:D30"/>
    <mergeCell ref="M4:N4"/>
    <mergeCell ref="G12:H12"/>
    <mergeCell ref="G11:H11"/>
    <mergeCell ref="G10:J10"/>
    <mergeCell ref="D7:J7"/>
  </mergeCells>
  <phoneticPr fontId="63" type="noConversion"/>
  <pageMargins left="0.8" right="0.65" top="0.68" bottom="0.75" header="0.3" footer="0.3"/>
  <pageSetup paperSize="14" fitToWidth="0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S34"/>
  <sheetViews>
    <sheetView zoomScale="180" zoomScaleNormal="180" workbookViewId="0">
      <selection activeCell="G29" sqref="G29:J29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395" customWidth="1"/>
    <col min="10" max="10" width="14.33203125" style="395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v>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387"/>
      <c r="J4" s="387"/>
      <c r="L4" s="74" t="s">
        <v>25</v>
      </c>
      <c r="M4" s="1366">
        <f>J13</f>
        <v>10000000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321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376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338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388" t="s">
        <v>14</v>
      </c>
      <c r="J11" s="399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1187">
        <v>4</v>
      </c>
      <c r="J12" s="1187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390"/>
      <c r="J13" s="400">
        <f>J27</f>
        <v>10000000</v>
      </c>
      <c r="L13" s="234"/>
      <c r="M13" s="234"/>
      <c r="N13" s="234"/>
      <c r="O13" s="234"/>
      <c r="P13" s="234"/>
      <c r="Q13" s="234"/>
      <c r="R13" s="234"/>
      <c r="S13" s="234"/>
    </row>
    <row r="14" spans="1:19" x14ac:dyDescent="0.25">
      <c r="A14" s="225" t="s">
        <v>339</v>
      </c>
      <c r="B14" s="1435" t="s">
        <v>340</v>
      </c>
      <c r="C14" s="1436"/>
      <c r="D14" s="1436"/>
      <c r="E14" s="1436"/>
      <c r="F14" s="1437"/>
      <c r="G14" s="226"/>
      <c r="H14" s="95"/>
      <c r="I14" s="391"/>
      <c r="J14" s="401"/>
      <c r="L14" s="234"/>
      <c r="M14" s="234"/>
      <c r="N14" s="234"/>
      <c r="O14" s="234"/>
      <c r="P14" s="234"/>
      <c r="Q14" s="234"/>
      <c r="R14" s="234"/>
      <c r="S14" s="234"/>
    </row>
    <row r="15" spans="1:19" x14ac:dyDescent="0.25">
      <c r="A15" s="89" t="s">
        <v>325</v>
      </c>
      <c r="B15" s="1371" t="s">
        <v>176</v>
      </c>
      <c r="C15" s="1372"/>
      <c r="D15" s="1372"/>
      <c r="E15" s="92"/>
      <c r="F15" s="93"/>
      <c r="G15" s="94"/>
      <c r="H15" s="95"/>
      <c r="I15" s="391"/>
      <c r="J15" s="1231">
        <v>6000000</v>
      </c>
      <c r="L15" s="234"/>
      <c r="M15" s="234"/>
      <c r="N15" s="234"/>
      <c r="O15" s="234"/>
      <c r="P15" s="234"/>
      <c r="Q15" s="234"/>
      <c r="R15" s="234"/>
      <c r="S15" s="234"/>
    </row>
    <row r="16" spans="1:19" ht="14.1" customHeight="1" x14ac:dyDescent="0.25">
      <c r="A16" s="99" t="s">
        <v>205</v>
      </c>
      <c r="B16" s="100"/>
      <c r="C16" s="1436" t="s">
        <v>207</v>
      </c>
      <c r="D16" s="1436"/>
      <c r="E16" s="102"/>
      <c r="F16" s="103"/>
      <c r="G16" s="104"/>
      <c r="H16" s="95"/>
      <c r="I16" s="392"/>
      <c r="J16" s="1232">
        <f>SUM(J17:J17)</f>
        <v>6000000</v>
      </c>
      <c r="L16" s="234"/>
      <c r="M16" s="234"/>
      <c r="N16" s="234"/>
      <c r="O16" s="234"/>
      <c r="P16" s="234"/>
      <c r="Q16" s="234"/>
      <c r="R16" s="234"/>
      <c r="S16" s="234"/>
    </row>
    <row r="17" spans="1:19" customFormat="1" ht="13.5" customHeight="1" x14ac:dyDescent="0.25">
      <c r="A17" s="99"/>
      <c r="B17" s="100"/>
      <c r="C17" s="1239" t="s">
        <v>123</v>
      </c>
      <c r="D17" s="137" t="s">
        <v>784</v>
      </c>
      <c r="E17" s="110" t="s">
        <v>25</v>
      </c>
      <c r="F17" s="110"/>
      <c r="G17" s="1182">
        <v>200</v>
      </c>
      <c r="H17" s="113" t="s">
        <v>670</v>
      </c>
      <c r="I17" s="1203">
        <v>30000</v>
      </c>
      <c r="J17" s="1230">
        <f>I17*G17</f>
        <v>6000000</v>
      </c>
      <c r="L17" s="234"/>
      <c r="M17" s="234"/>
      <c r="N17" s="234"/>
      <c r="O17" s="234"/>
      <c r="P17" s="234"/>
      <c r="Q17" s="234"/>
      <c r="R17" s="234"/>
      <c r="S17" s="234"/>
    </row>
    <row r="18" spans="1:19" customFormat="1" x14ac:dyDescent="0.25">
      <c r="A18" s="99"/>
      <c r="B18" s="100"/>
      <c r="C18" s="1234" t="s">
        <v>677</v>
      </c>
      <c r="D18" s="386"/>
      <c r="G18" s="1227"/>
      <c r="H18" s="1228"/>
      <c r="I18" s="1205"/>
      <c r="J18" s="1233">
        <f>SUM(J19:J24)</f>
        <v>1000000</v>
      </c>
      <c r="L18" s="234"/>
      <c r="M18" s="234"/>
      <c r="N18" s="234"/>
      <c r="O18" s="234"/>
      <c r="P18" s="234"/>
      <c r="Q18" s="234"/>
      <c r="R18" s="234"/>
      <c r="S18" s="234"/>
    </row>
    <row r="19" spans="1:19" customFormat="1" x14ac:dyDescent="0.25">
      <c r="A19" s="99"/>
      <c r="B19" s="100"/>
      <c r="C19" s="109" t="s">
        <v>123</v>
      </c>
      <c r="D19" s="869" t="s">
        <v>473</v>
      </c>
      <c r="E19" s="110" t="s">
        <v>25</v>
      </c>
      <c r="F19" s="102"/>
      <c r="G19" s="104">
        <v>5</v>
      </c>
      <c r="H19" s="892" t="s">
        <v>501</v>
      </c>
      <c r="I19" s="1205">
        <v>30000</v>
      </c>
      <c r="J19" s="1206">
        <f t="shared" ref="J19:J20" si="0">I19*G19</f>
        <v>150000</v>
      </c>
      <c r="L19" s="234"/>
      <c r="M19" s="234"/>
      <c r="N19" s="234"/>
      <c r="O19" s="234"/>
      <c r="P19" s="234"/>
      <c r="Q19" s="234"/>
      <c r="R19" s="234"/>
      <c r="S19" s="234"/>
    </row>
    <row r="20" spans="1:19" customFormat="1" x14ac:dyDescent="0.25">
      <c r="A20" s="99"/>
      <c r="B20" s="100"/>
      <c r="C20" s="109" t="s">
        <v>124</v>
      </c>
      <c r="D20" s="869" t="s">
        <v>495</v>
      </c>
      <c r="E20" s="110" t="s">
        <v>25</v>
      </c>
      <c r="F20" s="102"/>
      <c r="G20" s="104">
        <v>5</v>
      </c>
      <c r="H20" s="892" t="s">
        <v>501</v>
      </c>
      <c r="I20" s="1205">
        <v>35000</v>
      </c>
      <c r="J20" s="1206">
        <f t="shared" si="0"/>
        <v>175000</v>
      </c>
      <c r="L20" s="234"/>
      <c r="M20" s="234"/>
      <c r="N20" s="234"/>
      <c r="O20" s="234"/>
      <c r="P20" s="234"/>
      <c r="Q20" s="234"/>
      <c r="R20" s="234"/>
      <c r="S20" s="234"/>
    </row>
    <row r="21" spans="1:19" customFormat="1" x14ac:dyDescent="0.25">
      <c r="A21" s="99"/>
      <c r="B21" s="100"/>
      <c r="C21" s="109" t="s">
        <v>125</v>
      </c>
      <c r="D21" s="869" t="s">
        <v>472</v>
      </c>
      <c r="E21" s="110" t="s">
        <v>25</v>
      </c>
      <c r="F21" s="102"/>
      <c r="G21" s="104">
        <v>5</v>
      </c>
      <c r="H21" s="892" t="s">
        <v>501</v>
      </c>
      <c r="I21" s="1205">
        <v>35000</v>
      </c>
      <c r="J21" s="1206">
        <f t="shared" ref="J21:J24" si="1">I21*G21</f>
        <v>175000</v>
      </c>
      <c r="L21" s="234"/>
      <c r="M21" s="234"/>
      <c r="N21" s="234"/>
      <c r="O21" s="234"/>
      <c r="P21" s="234"/>
      <c r="Q21" s="234"/>
      <c r="R21" s="234"/>
      <c r="S21" s="234"/>
    </row>
    <row r="22" spans="1:19" customFormat="1" x14ac:dyDescent="0.25">
      <c r="A22" s="99"/>
      <c r="B22" s="100"/>
      <c r="C22" s="109" t="s">
        <v>126</v>
      </c>
      <c r="D22" s="869" t="s">
        <v>716</v>
      </c>
      <c r="E22" s="110" t="s">
        <v>25</v>
      </c>
      <c r="F22" s="102"/>
      <c r="G22" s="104">
        <v>1</v>
      </c>
      <c r="H22" s="892" t="s">
        <v>318</v>
      </c>
      <c r="I22" s="1205">
        <v>250000</v>
      </c>
      <c r="J22" s="1206">
        <f t="shared" si="1"/>
        <v>250000</v>
      </c>
      <c r="L22" s="234"/>
      <c r="M22" s="234"/>
      <c r="N22" s="234"/>
      <c r="O22" s="234"/>
      <c r="P22" s="234"/>
      <c r="Q22" s="234"/>
      <c r="R22" s="234"/>
      <c r="S22" s="234"/>
    </row>
    <row r="23" spans="1:19" customFormat="1" x14ac:dyDescent="0.25">
      <c r="A23" s="99"/>
      <c r="B23" s="100"/>
      <c r="C23" s="109" t="s">
        <v>127</v>
      </c>
      <c r="D23" s="869" t="s">
        <v>489</v>
      </c>
      <c r="E23" s="110" t="s">
        <v>25</v>
      </c>
      <c r="F23" s="102"/>
      <c r="G23" s="104">
        <v>1</v>
      </c>
      <c r="H23" s="892" t="s">
        <v>501</v>
      </c>
      <c r="I23" s="1205">
        <v>35000</v>
      </c>
      <c r="J23" s="1206">
        <f t="shared" si="1"/>
        <v>35000</v>
      </c>
      <c r="L23" s="234"/>
      <c r="M23" s="234"/>
      <c r="N23" s="234"/>
      <c r="O23" s="234"/>
      <c r="P23" s="234"/>
      <c r="Q23" s="234"/>
      <c r="R23" s="234"/>
      <c r="S23" s="234"/>
    </row>
    <row r="24" spans="1:19" s="79" customFormat="1" x14ac:dyDescent="0.25">
      <c r="A24" s="107"/>
      <c r="B24" s="108"/>
      <c r="C24" s="109" t="s">
        <v>128</v>
      </c>
      <c r="D24" s="1235" t="s">
        <v>717</v>
      </c>
      <c r="E24" s="110" t="s">
        <v>25</v>
      </c>
      <c r="F24" s="1236"/>
      <c r="G24" s="1237">
        <v>1</v>
      </c>
      <c r="H24" s="1238" t="s">
        <v>318</v>
      </c>
      <c r="I24" s="1207">
        <v>215000</v>
      </c>
      <c r="J24" s="1208">
        <f t="shared" si="1"/>
        <v>215000</v>
      </c>
      <c r="L24" s="234"/>
      <c r="M24" s="234"/>
      <c r="N24" s="234"/>
      <c r="O24" s="234"/>
      <c r="P24" s="234"/>
      <c r="Q24" s="234"/>
      <c r="R24" s="234"/>
      <c r="S24" s="234"/>
    </row>
    <row r="25" spans="1:19" customFormat="1" x14ac:dyDescent="0.25">
      <c r="A25" s="99"/>
      <c r="B25" s="100"/>
      <c r="C25" s="1645" t="s">
        <v>1044</v>
      </c>
      <c r="D25" s="1645"/>
      <c r="E25" s="110"/>
      <c r="F25" s="102"/>
      <c r="G25" s="104"/>
      <c r="H25" s="892"/>
      <c r="I25" s="1205"/>
      <c r="J25" s="1233">
        <v>3000000</v>
      </c>
      <c r="L25" s="234"/>
      <c r="M25" s="234"/>
      <c r="N25" s="234"/>
      <c r="O25" s="234"/>
      <c r="P25" s="234"/>
      <c r="Q25" s="234"/>
      <c r="R25" s="234"/>
      <c r="S25" s="234"/>
    </row>
    <row r="26" spans="1:19" customFormat="1" x14ac:dyDescent="0.25">
      <c r="A26" s="99"/>
      <c r="B26" s="100"/>
      <c r="C26" s="109" t="s">
        <v>123</v>
      </c>
      <c r="D26" s="869" t="s">
        <v>783</v>
      </c>
      <c r="E26" s="110" t="s">
        <v>25</v>
      </c>
      <c r="F26" s="102"/>
      <c r="G26" s="190">
        <v>60</v>
      </c>
      <c r="H26" s="1229" t="s">
        <v>782</v>
      </c>
      <c r="I26" s="1207">
        <v>50000</v>
      </c>
      <c r="J26" s="1208">
        <f>I26*G26</f>
        <v>3000000</v>
      </c>
      <c r="L26" s="234"/>
      <c r="M26" s="234"/>
      <c r="N26" s="234"/>
      <c r="O26" s="234"/>
      <c r="P26" s="234"/>
      <c r="Q26" s="234"/>
      <c r="R26" s="234"/>
      <c r="S26" s="234"/>
    </row>
    <row r="27" spans="1:19" s="79" customFormat="1" ht="20.85" customHeight="1" x14ac:dyDescent="0.25">
      <c r="A27" s="127"/>
      <c r="B27" s="1357" t="s">
        <v>15</v>
      </c>
      <c r="C27" s="1358"/>
      <c r="D27" s="1358"/>
      <c r="E27" s="1358"/>
      <c r="F27" s="80"/>
      <c r="G27" s="1383"/>
      <c r="H27" s="1644"/>
      <c r="I27" s="398"/>
      <c r="J27" s="405">
        <f>J15+J18+J25</f>
        <v>10000000</v>
      </c>
    </row>
    <row r="28" spans="1:19" s="79" customFormat="1" ht="9.75" customHeight="1" x14ac:dyDescent="0.25">
      <c r="A28" s="128"/>
      <c r="B28" s="128"/>
      <c r="C28" s="129"/>
      <c r="D28" s="78"/>
      <c r="E28" s="78"/>
      <c r="F28" s="78"/>
      <c r="G28" s="78"/>
      <c r="H28" s="78"/>
      <c r="I28" s="394"/>
      <c r="J28" s="406"/>
    </row>
    <row r="29" spans="1:19" s="79" customFormat="1" ht="14.25" customHeight="1" x14ac:dyDescent="0.25">
      <c r="A29" s="131"/>
      <c r="B29" s="131"/>
      <c r="C29" s="109"/>
      <c r="D29" s="132"/>
      <c r="E29" s="132"/>
      <c r="F29" s="132"/>
      <c r="G29" s="1359" t="s">
        <v>1002</v>
      </c>
      <c r="H29" s="1360"/>
      <c r="I29" s="1360"/>
      <c r="J29" s="1360"/>
    </row>
    <row r="30" spans="1:19" s="133" customFormat="1" ht="15" customHeight="1" x14ac:dyDescent="0.25">
      <c r="A30" s="1356" t="s">
        <v>11</v>
      </c>
      <c r="B30" s="1356"/>
      <c r="C30" s="1356"/>
      <c r="D30" s="1356"/>
      <c r="E30" s="134"/>
      <c r="F30" s="134"/>
      <c r="G30" s="1356" t="s">
        <v>21</v>
      </c>
      <c r="H30" s="1356"/>
      <c r="I30" s="1356"/>
      <c r="J30" s="1356"/>
    </row>
    <row r="31" spans="1:19" x14ac:dyDescent="0.25">
      <c r="I31" s="72"/>
      <c r="J31" s="72"/>
    </row>
    <row r="32" spans="1:19" x14ac:dyDescent="0.25">
      <c r="I32" s="72"/>
      <c r="J32" s="72"/>
    </row>
    <row r="33" spans="1:10" x14ac:dyDescent="0.25">
      <c r="I33" s="72"/>
      <c r="J33" s="72"/>
    </row>
    <row r="34" spans="1:10" s="74" customFormat="1" ht="10.199999999999999" x14ac:dyDescent="0.25">
      <c r="A34" s="1355" t="s">
        <v>1000</v>
      </c>
      <c r="B34" s="1355"/>
      <c r="C34" s="1355"/>
      <c r="D34" s="1355"/>
      <c r="G34" s="1355" t="s">
        <v>260</v>
      </c>
      <c r="H34" s="1355"/>
      <c r="I34" s="1355"/>
      <c r="J34" s="1355"/>
    </row>
  </sheetData>
  <mergeCells count="29">
    <mergeCell ref="G34:J34"/>
    <mergeCell ref="D8:J8"/>
    <mergeCell ref="C16:D16"/>
    <mergeCell ref="A1:J1"/>
    <mergeCell ref="B27:E27"/>
    <mergeCell ref="A34:D34"/>
    <mergeCell ref="A3:J3"/>
    <mergeCell ref="D7:J7"/>
    <mergeCell ref="D5:J5"/>
    <mergeCell ref="G11:H11"/>
    <mergeCell ref="D9:J9"/>
    <mergeCell ref="B14:F14"/>
    <mergeCell ref="A10:A11"/>
    <mergeCell ref="B15:D15"/>
    <mergeCell ref="D6:J6"/>
    <mergeCell ref="B13:F13"/>
    <mergeCell ref="L2:N2"/>
    <mergeCell ref="G30:J30"/>
    <mergeCell ref="G29:J29"/>
    <mergeCell ref="G27:H27"/>
    <mergeCell ref="A30:D30"/>
    <mergeCell ref="M3:N3"/>
    <mergeCell ref="M4:N4"/>
    <mergeCell ref="G10:J10"/>
    <mergeCell ref="B12:F12"/>
    <mergeCell ref="B10:F11"/>
    <mergeCell ref="G12:H12"/>
    <mergeCell ref="A2:J2"/>
    <mergeCell ref="C25:D25"/>
  </mergeCells>
  <phoneticPr fontId="63" type="noConversion"/>
  <pageMargins left="0.8" right="0.65" top="0.68" bottom="0.75" header="0.3" footer="0.3"/>
  <pageSetup paperSize="14" fitToWidth="0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188D-8E3C-4118-9A38-BF2B0FA3BD41}">
  <sheetPr>
    <tabColor rgb="FFFFFF00"/>
  </sheetPr>
  <dimension ref="A1:S32"/>
  <sheetViews>
    <sheetView zoomScale="127" workbookViewId="0">
      <selection activeCell="A32" sqref="A32:D32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395" customWidth="1"/>
    <col min="10" max="10" width="14.33203125" style="395" customWidth="1"/>
    <col min="11" max="12" width="9.33203125" style="72"/>
    <col min="13" max="13" width="16.33203125" style="72" bestFit="1" customWidth="1"/>
    <col min="14" max="16384" width="9.33203125" style="72"/>
  </cols>
  <sheetData>
    <row r="1" spans="1:19" x14ac:dyDescent="0.25">
      <c r="A1" s="1360" t="s">
        <v>0</v>
      </c>
      <c r="B1" s="1360"/>
      <c r="C1" s="1360"/>
      <c r="D1" s="1360"/>
      <c r="E1" s="1360"/>
      <c r="F1" s="1360"/>
      <c r="G1" s="1360"/>
      <c r="H1" s="1360"/>
      <c r="I1" s="1360"/>
      <c r="J1" s="1360"/>
    </row>
    <row r="2" spans="1:19" ht="13.5" customHeight="1" x14ac:dyDescent="0.25">
      <c r="A2" s="1360" t="s">
        <v>872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73"/>
      <c r="B3" s="73"/>
      <c r="C3" s="76"/>
      <c r="D3" s="73"/>
      <c r="E3" s="73"/>
      <c r="F3" s="73"/>
      <c r="G3" s="73"/>
      <c r="H3" s="73"/>
      <c r="I3" s="387"/>
      <c r="J3" s="387"/>
      <c r="L3" s="74" t="s">
        <v>50</v>
      </c>
      <c r="M3" s="1366">
        <f>J12</f>
        <v>5300000</v>
      </c>
      <c r="N3" s="1366"/>
    </row>
    <row r="4" spans="1:19" ht="16.5" customHeight="1" x14ac:dyDescent="0.25">
      <c r="A4" s="77" t="s">
        <v>1</v>
      </c>
      <c r="B4" s="77"/>
      <c r="C4" s="76" t="s">
        <v>137</v>
      </c>
      <c r="D4" s="1382" t="s">
        <v>341</v>
      </c>
      <c r="E4" s="1382"/>
      <c r="F4" s="1382"/>
      <c r="G4" s="1382"/>
      <c r="H4" s="1382"/>
      <c r="I4" s="1382"/>
      <c r="J4" s="1382"/>
      <c r="L4" s="74" t="s">
        <v>25</v>
      </c>
      <c r="M4" s="1366"/>
      <c r="N4" s="1366"/>
    </row>
    <row r="5" spans="1:19" ht="10.5" customHeight="1" x14ac:dyDescent="0.25">
      <c r="A5" s="77" t="s">
        <v>3</v>
      </c>
      <c r="B5" s="77"/>
      <c r="C5" s="76" t="s">
        <v>137</v>
      </c>
      <c r="D5" s="1382" t="s">
        <v>704</v>
      </c>
      <c r="E5" s="1382"/>
      <c r="F5" s="1382"/>
      <c r="G5" s="1382"/>
      <c r="H5" s="1382"/>
      <c r="I5" s="1382"/>
      <c r="J5" s="1382"/>
      <c r="M5" s="395"/>
    </row>
    <row r="6" spans="1:19" ht="13.5" customHeight="1" x14ac:dyDescent="0.25">
      <c r="A6" s="77" t="s">
        <v>4</v>
      </c>
      <c r="B6" s="77"/>
      <c r="C6" s="76" t="s">
        <v>137</v>
      </c>
      <c r="D6" s="1382" t="s">
        <v>46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6</v>
      </c>
      <c r="B7" s="77"/>
      <c r="C7" s="76" t="s">
        <v>137</v>
      </c>
      <c r="D7" s="1382" t="s">
        <v>705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/>
      <c r="B8" s="77"/>
      <c r="C8" s="76"/>
      <c r="D8" s="1382"/>
      <c r="E8" s="1382"/>
      <c r="F8" s="1382"/>
      <c r="G8" s="1382"/>
      <c r="H8" s="1382"/>
      <c r="I8" s="1382"/>
      <c r="J8" s="1382"/>
    </row>
    <row r="9" spans="1:19" ht="13.5" customHeight="1" x14ac:dyDescent="0.25">
      <c r="A9" s="1364" t="s">
        <v>10</v>
      </c>
      <c r="B9" s="1376" t="s">
        <v>12</v>
      </c>
      <c r="C9" s="1377"/>
      <c r="D9" s="1377"/>
      <c r="E9" s="1377"/>
      <c r="F9" s="1377"/>
      <c r="G9" s="1376" t="s">
        <v>8</v>
      </c>
      <c r="H9" s="1377"/>
      <c r="I9" s="1377"/>
      <c r="J9" s="1378"/>
    </row>
    <row r="10" spans="1:19" x14ac:dyDescent="0.25">
      <c r="A10" s="1365"/>
      <c r="B10" s="1383"/>
      <c r="C10" s="1384"/>
      <c r="D10" s="1384"/>
      <c r="E10" s="1384"/>
      <c r="F10" s="1384"/>
      <c r="G10" s="1375" t="s">
        <v>13</v>
      </c>
      <c r="H10" s="1375"/>
      <c r="I10" s="388" t="s">
        <v>14</v>
      </c>
      <c r="J10" s="399" t="s">
        <v>15</v>
      </c>
    </row>
    <row r="11" spans="1:19" s="79" customFormat="1" ht="7.5" customHeight="1" x14ac:dyDescent="0.25">
      <c r="A11" s="82">
        <v>1</v>
      </c>
      <c r="B11" s="1379">
        <v>2</v>
      </c>
      <c r="C11" s="1380"/>
      <c r="D11" s="1380"/>
      <c r="E11" s="1380"/>
      <c r="F11" s="1381"/>
      <c r="G11" s="1385">
        <v>3</v>
      </c>
      <c r="H11" s="1386"/>
      <c r="I11" s="1187">
        <v>4</v>
      </c>
      <c r="J11" s="1187">
        <v>5</v>
      </c>
    </row>
    <row r="12" spans="1:19" s="79" customFormat="1" ht="18" customHeight="1" x14ac:dyDescent="0.25">
      <c r="A12" s="83">
        <v>5</v>
      </c>
      <c r="B12" s="1368" t="s">
        <v>16</v>
      </c>
      <c r="C12" s="1369"/>
      <c r="D12" s="1369"/>
      <c r="E12" s="1369"/>
      <c r="F12" s="1370"/>
      <c r="G12" s="85"/>
      <c r="H12" s="86"/>
      <c r="I12" s="390"/>
      <c r="J12" s="400">
        <f>SUM(J15+J19+J22)</f>
        <v>5300000</v>
      </c>
    </row>
    <row r="13" spans="1:19" ht="17.100000000000001" customHeight="1" x14ac:dyDescent="0.25">
      <c r="A13" s="47" t="s">
        <v>351</v>
      </c>
      <c r="B13" s="1435" t="s">
        <v>698</v>
      </c>
      <c r="C13" s="1436"/>
      <c r="D13" s="1436"/>
      <c r="E13" s="1436"/>
      <c r="F13" s="1437"/>
      <c r="G13" s="226"/>
      <c r="H13" s="95"/>
      <c r="I13" s="391"/>
      <c r="J13" s="1183"/>
      <c r="L13" s="234"/>
      <c r="M13" s="234"/>
      <c r="N13" s="234"/>
      <c r="O13" s="234"/>
      <c r="P13" s="234"/>
      <c r="Q13" s="234"/>
      <c r="R13" s="234"/>
      <c r="S13" s="234"/>
    </row>
    <row r="14" spans="1:19" ht="15.15" customHeight="1" x14ac:dyDescent="0.25">
      <c r="A14" s="89" t="s">
        <v>353</v>
      </c>
      <c r="B14" s="1371" t="s">
        <v>207</v>
      </c>
      <c r="C14" s="1372"/>
      <c r="D14" s="1372"/>
      <c r="E14" s="92"/>
      <c r="F14" s="93"/>
      <c r="G14" s="1185"/>
      <c r="H14" s="888"/>
      <c r="I14" s="1184"/>
      <c r="J14" s="1186"/>
      <c r="L14" s="234"/>
      <c r="M14" s="234"/>
      <c r="N14" s="234"/>
      <c r="O14" s="234"/>
      <c r="P14" s="234"/>
      <c r="Q14" s="234"/>
      <c r="R14" s="234"/>
      <c r="S14" s="234"/>
    </row>
    <row r="15" spans="1:19" ht="14.1" customHeight="1" x14ac:dyDescent="0.25">
      <c r="A15" s="99" t="s">
        <v>355</v>
      </c>
      <c r="B15" s="100"/>
      <c r="C15" s="1361" t="s">
        <v>207</v>
      </c>
      <c r="D15" s="1361"/>
      <c r="E15" s="102"/>
      <c r="F15" s="103"/>
      <c r="G15" s="104"/>
      <c r="H15" s="95"/>
      <c r="I15" s="391"/>
      <c r="J15" s="404">
        <f>SUM(J16:J18)</f>
        <v>1650000</v>
      </c>
      <c r="L15" s="234"/>
      <c r="M15" s="234"/>
      <c r="N15" s="234"/>
      <c r="O15" s="234"/>
      <c r="P15" s="234"/>
      <c r="Q15" s="234"/>
      <c r="R15" s="234"/>
      <c r="S15" s="234"/>
    </row>
    <row r="16" spans="1:19" customFormat="1" x14ac:dyDescent="0.25">
      <c r="A16" s="99"/>
      <c r="B16" s="100"/>
      <c r="C16" s="323" t="s">
        <v>123</v>
      </c>
      <c r="D16" s="101" t="s">
        <v>706</v>
      </c>
      <c r="E16" s="110" t="s">
        <v>50</v>
      </c>
      <c r="F16" s="103"/>
      <c r="G16" s="104">
        <v>8</v>
      </c>
      <c r="H16" s="892" t="s">
        <v>458</v>
      </c>
      <c r="I16" s="1162">
        <v>25000</v>
      </c>
      <c r="J16" s="1162">
        <f>I16*G16</f>
        <v>200000</v>
      </c>
      <c r="L16" s="234"/>
      <c r="M16" s="234"/>
      <c r="N16" s="234"/>
      <c r="O16" s="234"/>
      <c r="P16" s="234"/>
      <c r="Q16" s="234"/>
      <c r="R16" s="234"/>
      <c r="S16" s="234"/>
    </row>
    <row r="17" spans="1:10" s="79" customFormat="1" x14ac:dyDescent="0.25">
      <c r="A17" s="99"/>
      <c r="B17" s="100"/>
      <c r="C17" s="323" t="s">
        <v>124</v>
      </c>
      <c r="D17" s="101" t="s">
        <v>707</v>
      </c>
      <c r="E17" s="110" t="s">
        <v>50</v>
      </c>
      <c r="F17" s="103"/>
      <c r="G17" s="104">
        <v>50</v>
      </c>
      <c r="H17" s="892" t="s">
        <v>458</v>
      </c>
      <c r="I17" s="1162">
        <v>25000</v>
      </c>
      <c r="J17" s="1162">
        <f>I17*G17</f>
        <v>1250000</v>
      </c>
    </row>
    <row r="18" spans="1:10" s="79" customFormat="1" ht="9.75" customHeight="1" x14ac:dyDescent="0.25">
      <c r="A18" s="99"/>
      <c r="B18" s="100"/>
      <c r="C18" s="323" t="s">
        <v>125</v>
      </c>
      <c r="D18" s="101" t="s">
        <v>708</v>
      </c>
      <c r="E18" s="110" t="s">
        <v>50</v>
      </c>
      <c r="F18" s="103"/>
      <c r="G18" s="887">
        <v>8</v>
      </c>
      <c r="H18" s="1170" t="s">
        <v>458</v>
      </c>
      <c r="I18" s="1172">
        <v>25000</v>
      </c>
      <c r="J18" s="1172">
        <f>I18*G18</f>
        <v>200000</v>
      </c>
    </row>
    <row r="19" spans="1:10" s="79" customFormat="1" ht="14.25" customHeight="1" x14ac:dyDescent="0.25">
      <c r="A19" s="99"/>
      <c r="B19" s="100"/>
      <c r="C19" s="1361" t="s">
        <v>709</v>
      </c>
      <c r="D19" s="1361"/>
      <c r="E19" s="102"/>
      <c r="F19" s="103"/>
      <c r="G19" s="104"/>
      <c r="H19" s="892"/>
      <c r="I19" s="1162"/>
      <c r="J19" s="404">
        <f>SUM(J20:J21)</f>
        <v>3050000</v>
      </c>
    </row>
    <row r="20" spans="1:10" s="133" customFormat="1" ht="10.199999999999999" x14ac:dyDescent="0.25">
      <c r="A20" s="99"/>
      <c r="B20" s="100"/>
      <c r="C20" s="385" t="s">
        <v>123</v>
      </c>
      <c r="D20" s="101" t="s">
        <v>1043</v>
      </c>
      <c r="E20" s="110" t="s">
        <v>50</v>
      </c>
      <c r="F20" s="103"/>
      <c r="G20" s="104">
        <v>2</v>
      </c>
      <c r="H20" s="892" t="s">
        <v>458</v>
      </c>
      <c r="I20" s="1162">
        <v>400000</v>
      </c>
      <c r="J20" s="1162">
        <f t="shared" ref="J20:J24" si="0">I20*G20</f>
        <v>800000</v>
      </c>
    </row>
    <row r="21" spans="1:10" x14ac:dyDescent="0.25">
      <c r="A21" s="99"/>
      <c r="B21" s="100"/>
      <c r="C21" s="385" t="s">
        <v>124</v>
      </c>
      <c r="D21" s="101" t="s">
        <v>710</v>
      </c>
      <c r="E21" s="110" t="s">
        <v>50</v>
      </c>
      <c r="F21" s="103"/>
      <c r="G21" s="887">
        <v>45</v>
      </c>
      <c r="H21" s="1170" t="s">
        <v>458</v>
      </c>
      <c r="I21" s="1172">
        <v>50000</v>
      </c>
      <c r="J21" s="1172">
        <f t="shared" si="0"/>
        <v>2250000</v>
      </c>
    </row>
    <row r="22" spans="1:10" x14ac:dyDescent="0.25">
      <c r="A22" s="99"/>
      <c r="B22" s="100"/>
      <c r="C22" s="1361" t="s">
        <v>677</v>
      </c>
      <c r="D22" s="1361"/>
      <c r="E22" s="110"/>
      <c r="F22" s="103"/>
      <c r="G22" s="104"/>
      <c r="H22" s="892"/>
      <c r="I22" s="1162"/>
      <c r="J22" s="404">
        <f>SUM(J23:J24)</f>
        <v>600000</v>
      </c>
    </row>
    <row r="23" spans="1:10" x14ac:dyDescent="0.25">
      <c r="A23" s="99"/>
      <c r="B23" s="100"/>
      <c r="C23" s="385" t="s">
        <v>123</v>
      </c>
      <c r="D23" s="357" t="s">
        <v>791</v>
      </c>
      <c r="E23" s="110" t="s">
        <v>50</v>
      </c>
      <c r="F23" s="103"/>
      <c r="G23" s="104">
        <v>1</v>
      </c>
      <c r="H23" s="892" t="s">
        <v>318</v>
      </c>
      <c r="I23" s="1162">
        <v>150000</v>
      </c>
      <c r="J23" s="1162">
        <f t="shared" si="0"/>
        <v>150000</v>
      </c>
    </row>
    <row r="24" spans="1:10" s="74" customFormat="1" ht="10.199999999999999" x14ac:dyDescent="0.25">
      <c r="A24" s="99"/>
      <c r="B24" s="100"/>
      <c r="C24" s="385" t="s">
        <v>124</v>
      </c>
      <c r="D24" s="357" t="s">
        <v>792</v>
      </c>
      <c r="E24" s="110" t="s">
        <v>50</v>
      </c>
      <c r="F24" s="103"/>
      <c r="G24" s="104">
        <v>45</v>
      </c>
      <c r="H24" s="892" t="s">
        <v>235</v>
      </c>
      <c r="I24" s="403">
        <v>10000</v>
      </c>
      <c r="J24" s="403">
        <f t="shared" si="0"/>
        <v>450000</v>
      </c>
    </row>
    <row r="25" spans="1:10" x14ac:dyDescent="0.25">
      <c r="A25" s="127"/>
      <c r="B25" s="1357" t="s">
        <v>15</v>
      </c>
      <c r="C25" s="1358"/>
      <c r="D25" s="1358"/>
      <c r="E25" s="1358"/>
      <c r="F25" s="80"/>
      <c r="G25" s="1357"/>
      <c r="H25" s="1362"/>
      <c r="I25" s="393"/>
      <c r="J25" s="400">
        <f>J12</f>
        <v>5300000</v>
      </c>
    </row>
    <row r="27" spans="1:10" x14ac:dyDescent="0.25">
      <c r="G27" s="1359" t="s">
        <v>1002</v>
      </c>
      <c r="H27" s="1360"/>
      <c r="I27" s="1360"/>
      <c r="J27" s="1360"/>
    </row>
    <row r="28" spans="1:10" x14ac:dyDescent="0.25">
      <c r="A28" s="1356" t="s">
        <v>11</v>
      </c>
      <c r="B28" s="1356"/>
      <c r="C28" s="1356"/>
      <c r="D28" s="1356"/>
      <c r="E28" s="134"/>
      <c r="F28" s="134"/>
      <c r="G28" s="1356" t="s">
        <v>21</v>
      </c>
      <c r="H28" s="1356"/>
      <c r="I28" s="1356"/>
      <c r="J28" s="1356"/>
    </row>
    <row r="29" spans="1:10" x14ac:dyDescent="0.25">
      <c r="I29" s="72"/>
      <c r="J29" s="72"/>
    </row>
    <row r="30" spans="1:10" x14ac:dyDescent="0.25">
      <c r="I30" s="72"/>
      <c r="J30" s="72"/>
    </row>
    <row r="31" spans="1:10" x14ac:dyDescent="0.25">
      <c r="I31" s="72"/>
      <c r="J31" s="72"/>
    </row>
    <row r="32" spans="1:10" x14ac:dyDescent="0.25">
      <c r="A32" s="1355" t="s">
        <v>1000</v>
      </c>
      <c r="B32" s="1355"/>
      <c r="C32" s="1355"/>
      <c r="D32" s="1355"/>
      <c r="E32" s="74"/>
      <c r="F32" s="74"/>
      <c r="G32" s="1355" t="s">
        <v>260</v>
      </c>
      <c r="H32" s="1355"/>
      <c r="I32" s="1355"/>
      <c r="J32" s="1355"/>
    </row>
  </sheetData>
  <mergeCells count="29">
    <mergeCell ref="B25:E25"/>
    <mergeCell ref="G25:H25"/>
    <mergeCell ref="B12:F12"/>
    <mergeCell ref="B13:F13"/>
    <mergeCell ref="B14:D14"/>
    <mergeCell ref="C15:D15"/>
    <mergeCell ref="C19:D19"/>
    <mergeCell ref="C22:D22"/>
    <mergeCell ref="A1:J1"/>
    <mergeCell ref="A2:J2"/>
    <mergeCell ref="D5:J5"/>
    <mergeCell ref="D6:J6"/>
    <mergeCell ref="D7:J7"/>
    <mergeCell ref="D4:J4"/>
    <mergeCell ref="L2:N2"/>
    <mergeCell ref="M3:N3"/>
    <mergeCell ref="M4:N4"/>
    <mergeCell ref="G11:H11"/>
    <mergeCell ref="D8:J8"/>
    <mergeCell ref="A9:A10"/>
    <mergeCell ref="B9:F10"/>
    <mergeCell ref="G9:J9"/>
    <mergeCell ref="G10:H10"/>
    <mergeCell ref="B11:F11"/>
    <mergeCell ref="A28:D28"/>
    <mergeCell ref="G28:J28"/>
    <mergeCell ref="A32:D32"/>
    <mergeCell ref="G32:J32"/>
    <mergeCell ref="G27:J27"/>
  </mergeCells>
  <pageMargins left="0.8" right="0.65" top="0.68" bottom="0.75" header="0.3" footer="0.3"/>
  <pageSetup paperSize="14" fitToWidth="0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S26"/>
  <sheetViews>
    <sheetView topLeftCell="A7" zoomScale="180" workbookViewId="0">
      <selection activeCell="G21" sqref="G21:J21"/>
    </sheetView>
  </sheetViews>
  <sheetFormatPr defaultColWidth="9.33203125" defaultRowHeight="13.2" x14ac:dyDescent="0.25"/>
  <cols>
    <col min="1" max="1" width="8.66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v>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25</v>
      </c>
    </row>
    <row r="5" spans="1:19" ht="10.5" customHeight="1" x14ac:dyDescent="0.25">
      <c r="A5" s="77" t="s">
        <v>1</v>
      </c>
      <c r="B5" s="77"/>
      <c r="C5" s="76" t="s">
        <v>137</v>
      </c>
      <c r="D5" s="1382" t="s">
        <v>341</v>
      </c>
      <c r="E5" s="1382"/>
      <c r="F5" s="1382"/>
      <c r="G5" s="1382"/>
      <c r="H5" s="1382"/>
      <c r="I5" s="1382"/>
      <c r="J5" s="1382"/>
      <c r="L5" s="74" t="s">
        <v>1045</v>
      </c>
      <c r="M5" s="1366">
        <f>J13</f>
        <v>5000000</v>
      </c>
      <c r="N5" s="1366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876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1053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/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5000000</v>
      </c>
      <c r="L13" s="234"/>
      <c r="M13" s="234"/>
      <c r="N13" s="234"/>
      <c r="O13" s="234"/>
      <c r="P13" s="234"/>
      <c r="Q13" s="234"/>
      <c r="R13" s="234"/>
      <c r="S13" s="234"/>
    </row>
    <row r="14" spans="1:19" ht="15" customHeight="1" x14ac:dyDescent="0.25">
      <c r="A14" s="225"/>
      <c r="B14" s="1435" t="str">
        <f>D5</f>
        <v>PEMBERDAYAAN MASYARAKAT DESA</v>
      </c>
      <c r="C14" s="1436"/>
      <c r="D14" s="1436"/>
      <c r="E14" s="1436"/>
      <c r="F14" s="1437"/>
      <c r="G14" s="226"/>
      <c r="H14" s="95"/>
      <c r="I14" s="96"/>
      <c r="J14" s="228"/>
      <c r="L14" s="234"/>
      <c r="M14" s="234"/>
      <c r="N14" s="234"/>
      <c r="O14" s="234"/>
      <c r="P14" s="234"/>
      <c r="Q14" s="234"/>
      <c r="R14" s="234"/>
      <c r="S14" s="234"/>
    </row>
    <row r="15" spans="1:19" ht="15.15" customHeight="1" x14ac:dyDescent="0.25">
      <c r="A15" s="89"/>
      <c r="B15" s="1371" t="s">
        <v>176</v>
      </c>
      <c r="C15" s="1372"/>
      <c r="D15" s="1372"/>
      <c r="E15" s="92"/>
      <c r="F15" s="93"/>
      <c r="G15" s="94"/>
      <c r="H15" s="95"/>
      <c r="I15" s="96"/>
      <c r="J15" s="97">
        <f>J16</f>
        <v>5000000</v>
      </c>
      <c r="L15" s="234"/>
      <c r="M15" s="234"/>
      <c r="N15" s="234"/>
      <c r="O15" s="234"/>
      <c r="P15" s="234"/>
      <c r="Q15" s="234"/>
      <c r="R15" s="234"/>
      <c r="S15" s="234"/>
    </row>
    <row r="16" spans="1:19" ht="14.1" customHeight="1" x14ac:dyDescent="0.25">
      <c r="A16" s="99"/>
      <c r="B16" s="100"/>
      <c r="C16" s="1361" t="s">
        <v>326</v>
      </c>
      <c r="D16" s="1361"/>
      <c r="E16" s="102"/>
      <c r="F16" s="103"/>
      <c r="G16" s="104"/>
      <c r="H16" s="95"/>
      <c r="I16" s="105"/>
      <c r="J16" s="106">
        <f>SUM(J17:J18)</f>
        <v>5000000</v>
      </c>
      <c r="L16" s="234"/>
      <c r="M16" s="234"/>
      <c r="N16" s="234"/>
      <c r="O16" s="234"/>
      <c r="P16" s="234"/>
      <c r="Q16" s="234"/>
      <c r="R16" s="234"/>
      <c r="S16" s="234"/>
    </row>
    <row r="17" spans="1:19" customFormat="1" x14ac:dyDescent="0.25">
      <c r="A17" s="99"/>
      <c r="B17" s="100"/>
      <c r="C17" s="109" t="s">
        <v>123</v>
      </c>
      <c r="D17" s="102" t="s">
        <v>998</v>
      </c>
      <c r="E17" s="110" t="s">
        <v>1045</v>
      </c>
      <c r="F17" s="111"/>
      <c r="G17" s="112">
        <v>10</v>
      </c>
      <c r="H17" s="113" t="s">
        <v>235</v>
      </c>
      <c r="I17" s="114">
        <v>200000</v>
      </c>
      <c r="J17" s="114">
        <f>I17*G17</f>
        <v>2000000</v>
      </c>
      <c r="L17" s="234"/>
      <c r="M17" s="234"/>
      <c r="N17" s="234"/>
      <c r="O17" s="234"/>
      <c r="P17" s="234"/>
      <c r="Q17" s="234"/>
      <c r="R17" s="234"/>
      <c r="S17" s="234"/>
    </row>
    <row r="18" spans="1:19" customFormat="1" x14ac:dyDescent="0.25">
      <c r="A18" s="99"/>
      <c r="B18" s="100"/>
      <c r="C18" s="109" t="s">
        <v>124</v>
      </c>
      <c r="D18" s="1226" t="s">
        <v>999</v>
      </c>
      <c r="E18" s="110" t="s">
        <v>1045</v>
      </c>
      <c r="G18" s="116">
        <v>10</v>
      </c>
      <c r="H18" s="117" t="s">
        <v>235</v>
      </c>
      <c r="I18" s="118">
        <v>300000</v>
      </c>
      <c r="J18" s="118">
        <f>I18*G18</f>
        <v>3000000</v>
      </c>
      <c r="L18" s="234"/>
      <c r="M18" s="234"/>
      <c r="N18" s="234"/>
      <c r="O18" s="234"/>
      <c r="P18" s="234"/>
      <c r="Q18" s="234"/>
      <c r="R18" s="234"/>
      <c r="S18" s="234"/>
    </row>
    <row r="19" spans="1:19" s="79" customFormat="1" ht="20.85" customHeight="1" x14ac:dyDescent="0.25">
      <c r="A19" s="127"/>
      <c r="B19" s="1357" t="s">
        <v>15</v>
      </c>
      <c r="C19" s="1358"/>
      <c r="D19" s="1358"/>
      <c r="E19" s="1358"/>
      <c r="F19" s="80"/>
      <c r="G19" s="1357"/>
      <c r="H19" s="1362"/>
      <c r="I19" s="127"/>
      <c r="J19" s="88">
        <f>J13</f>
        <v>5000000</v>
      </c>
    </row>
    <row r="20" spans="1:19" s="79" customFormat="1" ht="9.75" customHeight="1" x14ac:dyDescent="0.25">
      <c r="A20" s="128"/>
      <c r="B20" s="128"/>
      <c r="C20" s="129"/>
      <c r="D20" s="78"/>
      <c r="E20" s="78"/>
      <c r="F20" s="78"/>
      <c r="G20" s="78"/>
      <c r="H20" s="78"/>
      <c r="I20" s="128"/>
      <c r="J20" s="130"/>
    </row>
    <row r="21" spans="1:19" s="79" customFormat="1" ht="14.25" customHeight="1" x14ac:dyDescent="0.25">
      <c r="A21" s="131"/>
      <c r="B21" s="131"/>
      <c r="C21" s="109"/>
      <c r="D21" s="132"/>
      <c r="E21" s="132"/>
      <c r="F21" s="132"/>
      <c r="G21" s="1359" t="s">
        <v>1002</v>
      </c>
      <c r="H21" s="1360"/>
      <c r="I21" s="1360"/>
      <c r="J21" s="1360"/>
    </row>
    <row r="22" spans="1:19" s="133" customFormat="1" ht="15" customHeight="1" x14ac:dyDescent="0.25">
      <c r="A22" s="1356" t="s">
        <v>11</v>
      </c>
      <c r="B22" s="1356"/>
      <c r="C22" s="1356"/>
      <c r="D22" s="1356"/>
      <c r="E22" s="134"/>
      <c r="F22" s="134"/>
      <c r="G22" s="1356" t="s">
        <v>21</v>
      </c>
      <c r="H22" s="1356"/>
      <c r="I22" s="1356"/>
      <c r="J22" s="1356"/>
    </row>
    <row r="26" spans="1:19" s="74" customFormat="1" ht="10.199999999999999" x14ac:dyDescent="0.25">
      <c r="A26" s="1355" t="s">
        <v>1000</v>
      </c>
      <c r="B26" s="1355"/>
      <c r="C26" s="1355"/>
      <c r="D26" s="1355"/>
      <c r="G26" s="1355" t="s">
        <v>260</v>
      </c>
      <c r="H26" s="1355"/>
      <c r="I26" s="1355"/>
      <c r="J26" s="1355"/>
    </row>
  </sheetData>
  <mergeCells count="28">
    <mergeCell ref="D5:J5"/>
    <mergeCell ref="A3:J3"/>
    <mergeCell ref="A1:J1"/>
    <mergeCell ref="C16:D16"/>
    <mergeCell ref="G10:J10"/>
    <mergeCell ref="B13:F13"/>
    <mergeCell ref="B10:F11"/>
    <mergeCell ref="B14:F14"/>
    <mergeCell ref="G12:H12"/>
    <mergeCell ref="B12:F12"/>
    <mergeCell ref="G11:H11"/>
    <mergeCell ref="D6:J6"/>
    <mergeCell ref="G26:J26"/>
    <mergeCell ref="G21:J21"/>
    <mergeCell ref="G19:H19"/>
    <mergeCell ref="L2:N2"/>
    <mergeCell ref="M5:N5"/>
    <mergeCell ref="M3:N3"/>
    <mergeCell ref="D7:J7"/>
    <mergeCell ref="A26:D26"/>
    <mergeCell ref="B15:D15"/>
    <mergeCell ref="A2:J2"/>
    <mergeCell ref="B19:E19"/>
    <mergeCell ref="A10:A11"/>
    <mergeCell ref="G22:J22"/>
    <mergeCell ref="D8:J8"/>
    <mergeCell ref="D9:J9"/>
    <mergeCell ref="A22:D22"/>
  </mergeCells>
  <phoneticPr fontId="63" type="noConversion"/>
  <pageMargins left="0.8" right="0.65" top="0.68" bottom="0.75" header="0.3" footer="0.3"/>
  <pageSetup paperSize="14" fitToWidth="0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 tint="-4.9989318521683403E-2"/>
  </sheetPr>
  <dimension ref="A1:S24"/>
  <sheetViews>
    <sheetView topLeftCell="A2" zoomScale="170" zoomScaleNormal="170" workbookViewId="0">
      <selection activeCell="L5" sqref="L5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6.77734375" style="72" customWidth="1"/>
    <col min="9" max="9" width="12" style="395" customWidth="1"/>
    <col min="10" max="10" width="14.33203125" style="395" customWidth="1"/>
    <col min="11" max="12" width="9.33203125" style="72"/>
    <col min="13" max="13" width="14.44140625" style="72" customWidth="1"/>
    <col min="14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J17</f>
        <v>35000000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387"/>
      <c r="J4" s="387"/>
      <c r="L4" s="74" t="s">
        <v>25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341</v>
      </c>
      <c r="E5" s="1382"/>
      <c r="F5" s="1382"/>
      <c r="G5" s="1382"/>
      <c r="H5" s="1382"/>
      <c r="I5" s="1382"/>
      <c r="J5" s="1382"/>
      <c r="L5" s="74" t="s">
        <v>1045</v>
      </c>
      <c r="M5" s="1646"/>
      <c r="N5" s="1647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1055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1054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388" t="s">
        <v>14</v>
      </c>
      <c r="J11" s="399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1187">
        <v>4</v>
      </c>
      <c r="J12" s="1187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1240"/>
      <c r="J13" s="1241">
        <f>J15</f>
        <v>35000000</v>
      </c>
      <c r="L13" s="1431"/>
      <c r="M13" s="1431"/>
      <c r="N13" s="1431"/>
      <c r="O13" s="1431"/>
      <c r="P13" s="1431"/>
      <c r="Q13" s="1431"/>
      <c r="R13" s="1431"/>
      <c r="S13" s="1431"/>
    </row>
    <row r="14" spans="1:19" ht="15" customHeight="1" x14ac:dyDescent="0.25">
      <c r="A14" s="47"/>
      <c r="B14" s="1435" t="str">
        <f>D5</f>
        <v>PEMBERDAYAAN MASYARAKAT DESA</v>
      </c>
      <c r="C14" s="1436"/>
      <c r="D14" s="1436"/>
      <c r="E14" s="1436"/>
      <c r="F14" s="1437"/>
      <c r="G14" s="226"/>
      <c r="H14" s="95"/>
      <c r="I14" s="1205"/>
      <c r="J14" s="1206"/>
      <c r="L14" s="1431"/>
      <c r="M14" s="1431"/>
      <c r="N14" s="1431"/>
      <c r="O14" s="1431"/>
      <c r="P14" s="1431"/>
      <c r="Q14" s="1431"/>
      <c r="R14" s="1431"/>
      <c r="S14" s="1431"/>
    </row>
    <row r="15" spans="1:19" ht="14.1" customHeight="1" x14ac:dyDescent="0.25">
      <c r="A15" s="99"/>
      <c r="B15" s="1371" t="s">
        <v>176</v>
      </c>
      <c r="C15" s="1372"/>
      <c r="D15" s="1372"/>
      <c r="E15" s="102"/>
      <c r="F15" s="103"/>
      <c r="G15" s="104"/>
      <c r="H15" s="95"/>
      <c r="I15" s="1205"/>
      <c r="J15" s="1206">
        <f>SUM(J16:J16)</f>
        <v>35000000</v>
      </c>
      <c r="L15" s="1431"/>
      <c r="M15" s="1431"/>
      <c r="N15" s="1431"/>
      <c r="O15" s="1431"/>
      <c r="P15" s="1431"/>
      <c r="Q15" s="1431"/>
      <c r="R15" s="1431"/>
      <c r="S15" s="1431"/>
    </row>
    <row r="16" spans="1:19" customFormat="1" x14ac:dyDescent="0.25">
      <c r="A16" s="99"/>
      <c r="B16" s="100"/>
      <c r="C16" s="323">
        <v>1</v>
      </c>
      <c r="D16" s="101" t="s">
        <v>880</v>
      </c>
      <c r="E16" s="110" t="s">
        <v>50</v>
      </c>
      <c r="F16" s="103"/>
      <c r="G16" s="104">
        <v>7</v>
      </c>
      <c r="H16" s="892" t="s">
        <v>1056</v>
      </c>
      <c r="I16" s="1207">
        <v>5000000</v>
      </c>
      <c r="J16" s="1208">
        <f>I16*G16</f>
        <v>35000000</v>
      </c>
      <c r="L16" s="1431"/>
      <c r="M16" s="1431"/>
      <c r="N16" s="1431"/>
      <c r="O16" s="1431"/>
      <c r="P16" s="1431"/>
      <c r="Q16" s="1431"/>
      <c r="R16" s="1431"/>
      <c r="S16" s="1431"/>
    </row>
    <row r="17" spans="1:19" s="79" customFormat="1" ht="20.85" customHeight="1" x14ac:dyDescent="0.25">
      <c r="A17" s="127"/>
      <c r="B17" s="1357" t="s">
        <v>15</v>
      </c>
      <c r="C17" s="1358"/>
      <c r="D17" s="1358"/>
      <c r="E17" s="1358"/>
      <c r="F17" s="80"/>
      <c r="G17" s="1357"/>
      <c r="H17" s="1362"/>
      <c r="I17" s="1166"/>
      <c r="J17" s="1210">
        <f>J13</f>
        <v>35000000</v>
      </c>
      <c r="L17" s="324"/>
      <c r="M17" s="324"/>
      <c r="N17" s="324"/>
      <c r="O17" s="324"/>
      <c r="P17" s="324"/>
      <c r="Q17" s="324"/>
      <c r="R17" s="324"/>
      <c r="S17" s="324"/>
    </row>
    <row r="18" spans="1:19" s="79" customFormat="1" ht="9.75" customHeight="1" x14ac:dyDescent="0.25">
      <c r="A18" s="128"/>
      <c r="B18" s="128"/>
      <c r="C18" s="129"/>
      <c r="D18" s="78"/>
      <c r="E18" s="78"/>
      <c r="F18" s="78"/>
      <c r="G18" s="78"/>
      <c r="H18" s="78"/>
      <c r="I18" s="394"/>
      <c r="J18" s="406"/>
      <c r="L18" s="324"/>
      <c r="M18" s="324"/>
      <c r="N18" s="324"/>
      <c r="O18" s="324"/>
      <c r="P18" s="324"/>
      <c r="Q18" s="324"/>
      <c r="R18" s="324"/>
      <c r="S18" s="324"/>
    </row>
    <row r="19" spans="1:19" s="79" customFormat="1" ht="14.25" customHeight="1" x14ac:dyDescent="0.25">
      <c r="A19" s="131"/>
      <c r="B19" s="131"/>
      <c r="C19" s="109"/>
      <c r="D19" s="132"/>
      <c r="E19" s="132"/>
      <c r="F19" s="132"/>
      <c r="G19" s="1359" t="s">
        <v>1002</v>
      </c>
      <c r="H19" s="1360"/>
      <c r="I19" s="1360"/>
      <c r="J19" s="1360"/>
    </row>
    <row r="20" spans="1:19" s="133" customFormat="1" ht="15" customHeight="1" x14ac:dyDescent="0.25">
      <c r="A20" s="1356" t="s">
        <v>11</v>
      </c>
      <c r="B20" s="1356"/>
      <c r="C20" s="1356"/>
      <c r="D20" s="1356"/>
      <c r="E20" s="134"/>
      <c r="F20" s="134"/>
      <c r="G20" s="1356" t="s">
        <v>21</v>
      </c>
      <c r="H20" s="1356"/>
      <c r="I20" s="1356"/>
      <c r="J20" s="1356"/>
    </row>
    <row r="24" spans="1:19" s="74" customFormat="1" ht="10.199999999999999" x14ac:dyDescent="0.25">
      <c r="A24" s="1355" t="s">
        <v>1000</v>
      </c>
      <c r="B24" s="1355"/>
      <c r="C24" s="1355"/>
      <c r="D24" s="1355"/>
      <c r="G24" s="1355" t="s">
        <v>199</v>
      </c>
      <c r="H24" s="1355"/>
      <c r="I24" s="1355"/>
      <c r="J24" s="1355"/>
    </row>
  </sheetData>
  <mergeCells count="29">
    <mergeCell ref="A1:J1"/>
    <mergeCell ref="B13:F13"/>
    <mergeCell ref="M4:N4"/>
    <mergeCell ref="D7:J7"/>
    <mergeCell ref="D6:J6"/>
    <mergeCell ref="D9:J9"/>
    <mergeCell ref="D5:J5"/>
    <mergeCell ref="A10:A11"/>
    <mergeCell ref="L2:N2"/>
    <mergeCell ref="B10:F11"/>
    <mergeCell ref="G12:H12"/>
    <mergeCell ref="L13:S16"/>
    <mergeCell ref="A2:J2"/>
    <mergeCell ref="G11:H11"/>
    <mergeCell ref="G10:J10"/>
    <mergeCell ref="M5:N5"/>
    <mergeCell ref="M3:N3"/>
    <mergeCell ref="G24:J24"/>
    <mergeCell ref="B17:E17"/>
    <mergeCell ref="B15:D15"/>
    <mergeCell ref="A3:J3"/>
    <mergeCell ref="A24:D24"/>
    <mergeCell ref="G20:J20"/>
    <mergeCell ref="G17:H17"/>
    <mergeCell ref="G19:J19"/>
    <mergeCell ref="D8:J8"/>
    <mergeCell ref="B14:F14"/>
    <mergeCell ref="B12:F12"/>
    <mergeCell ref="A20:D20"/>
  </mergeCells>
  <phoneticPr fontId="69" type="noConversion"/>
  <pageMargins left="0.8" right="0.65" top="0.68" bottom="0.75" header="0.3" footer="0.3"/>
  <pageSetup paperSize="14" fitToWidth="0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S25"/>
  <sheetViews>
    <sheetView zoomScale="143" workbookViewId="0">
      <selection activeCell="A4" sqref="A4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J17</f>
        <v>144000000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25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349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697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350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144000000</v>
      </c>
      <c r="L13" s="1431"/>
      <c r="M13" s="1431"/>
      <c r="N13" s="1431"/>
      <c r="O13" s="1431"/>
      <c r="P13" s="1431"/>
      <c r="Q13" s="1431"/>
      <c r="R13" s="1431"/>
      <c r="S13" s="1431"/>
    </row>
    <row r="14" spans="1:19" ht="15" customHeight="1" x14ac:dyDescent="0.25">
      <c r="A14" s="47" t="s">
        <v>351</v>
      </c>
      <c r="B14" s="1435" t="s">
        <v>352</v>
      </c>
      <c r="C14" s="1436"/>
      <c r="D14" s="1436"/>
      <c r="E14" s="1436"/>
      <c r="F14" s="1437"/>
      <c r="G14" s="226"/>
      <c r="H14" s="95"/>
      <c r="I14" s="96"/>
      <c r="J14" s="228"/>
      <c r="L14" s="1431"/>
      <c r="M14" s="1431"/>
      <c r="N14" s="1431"/>
      <c r="O14" s="1431"/>
      <c r="P14" s="1431"/>
      <c r="Q14" s="1431"/>
      <c r="R14" s="1431"/>
      <c r="S14" s="1431"/>
    </row>
    <row r="15" spans="1:19" ht="15.15" customHeight="1" x14ac:dyDescent="0.25">
      <c r="A15" s="89" t="s">
        <v>353</v>
      </c>
      <c r="B15" s="1371" t="s">
        <v>354</v>
      </c>
      <c r="C15" s="1372"/>
      <c r="D15" s="1372"/>
      <c r="E15" s="92"/>
      <c r="F15" s="93"/>
      <c r="G15" s="94"/>
      <c r="H15" s="95"/>
      <c r="I15" s="96"/>
      <c r="J15" s="97">
        <f>J16</f>
        <v>144000000</v>
      </c>
      <c r="L15" s="1431"/>
      <c r="M15" s="1431"/>
      <c r="N15" s="1431"/>
      <c r="O15" s="1431"/>
      <c r="P15" s="1431"/>
      <c r="Q15" s="1431"/>
      <c r="R15" s="1431"/>
      <c r="S15" s="1431"/>
    </row>
    <row r="16" spans="1:19" ht="14.1" customHeight="1" x14ac:dyDescent="0.25">
      <c r="A16" s="99" t="s">
        <v>355</v>
      </c>
      <c r="B16" s="100"/>
      <c r="C16" s="1361" t="s">
        <v>354</v>
      </c>
      <c r="D16" s="1361"/>
      <c r="E16" s="102"/>
      <c r="F16" s="103"/>
      <c r="G16" s="104"/>
      <c r="H16" s="95"/>
      <c r="I16" s="105"/>
      <c r="J16" s="106">
        <f>SUM(J17:J17)</f>
        <v>144000000</v>
      </c>
      <c r="L16" s="1431"/>
      <c r="M16" s="1431"/>
      <c r="N16" s="1431"/>
      <c r="O16" s="1431"/>
      <c r="P16" s="1431"/>
      <c r="Q16" s="1431"/>
      <c r="R16" s="1431"/>
      <c r="S16" s="1431"/>
    </row>
    <row r="17" spans="1:19" ht="13.5" customHeight="1" x14ac:dyDescent="0.25">
      <c r="A17" s="107"/>
      <c r="B17" s="108"/>
      <c r="C17" s="109" t="s">
        <v>123</v>
      </c>
      <c r="D17" s="102" t="s">
        <v>356</v>
      </c>
      <c r="E17" s="110" t="s">
        <v>50</v>
      </c>
      <c r="F17" s="111"/>
      <c r="G17" s="112">
        <v>480</v>
      </c>
      <c r="H17" s="113" t="s">
        <v>9</v>
      </c>
      <c r="I17" s="114">
        <v>300000</v>
      </c>
      <c r="J17" s="114">
        <f>I17*G17</f>
        <v>144000000</v>
      </c>
      <c r="L17" s="1431"/>
      <c r="M17" s="1431"/>
      <c r="N17" s="1431"/>
      <c r="O17" s="1431"/>
      <c r="P17" s="1431"/>
      <c r="Q17" s="1431"/>
      <c r="R17" s="1431"/>
      <c r="S17" s="1431"/>
    </row>
    <row r="18" spans="1:19" s="79" customFormat="1" ht="20.85" customHeight="1" x14ac:dyDescent="0.25">
      <c r="A18" s="127"/>
      <c r="B18" s="1357" t="s">
        <v>15</v>
      </c>
      <c r="C18" s="1358"/>
      <c r="D18" s="1358"/>
      <c r="E18" s="1358"/>
      <c r="F18" s="80"/>
      <c r="G18" s="1357"/>
      <c r="H18" s="1362"/>
      <c r="I18" s="127"/>
      <c r="J18" s="88">
        <f>J13</f>
        <v>144000000</v>
      </c>
      <c r="L18" s="324"/>
      <c r="M18" s="324"/>
      <c r="N18" s="324"/>
      <c r="O18" s="324"/>
      <c r="P18" s="324"/>
      <c r="Q18" s="324"/>
      <c r="R18" s="324"/>
      <c r="S18" s="324"/>
    </row>
    <row r="19" spans="1:19" s="79" customFormat="1" ht="9.75" customHeight="1" x14ac:dyDescent="0.25">
      <c r="A19" s="128"/>
      <c r="B19" s="128"/>
      <c r="C19" s="129"/>
      <c r="D19" s="78"/>
      <c r="E19" s="78"/>
      <c r="F19" s="78"/>
      <c r="G19" s="78"/>
      <c r="H19" s="78"/>
      <c r="I19" s="128"/>
      <c r="J19" s="130"/>
      <c r="L19" s="324"/>
      <c r="M19" s="324"/>
      <c r="N19" s="324"/>
      <c r="O19" s="324"/>
      <c r="P19" s="324"/>
      <c r="Q19" s="324"/>
      <c r="R19" s="324"/>
      <c r="S19" s="324"/>
    </row>
    <row r="20" spans="1:19" s="79" customFormat="1" ht="14.25" customHeight="1" x14ac:dyDescent="0.25">
      <c r="A20" s="131"/>
      <c r="B20" s="131"/>
      <c r="C20" s="109"/>
      <c r="D20" s="132"/>
      <c r="E20" s="132"/>
      <c r="F20" s="132"/>
      <c r="G20" s="1359" t="s">
        <v>1002</v>
      </c>
      <c r="H20" s="1360"/>
      <c r="I20" s="1360"/>
      <c r="J20" s="1360"/>
    </row>
    <row r="21" spans="1:19" s="133" customFormat="1" ht="15" customHeight="1" x14ac:dyDescent="0.25">
      <c r="A21" s="1356" t="s">
        <v>11</v>
      </c>
      <c r="B21" s="1356"/>
      <c r="C21" s="1356"/>
      <c r="D21" s="1356"/>
      <c r="E21" s="134"/>
      <c r="F21" s="134"/>
      <c r="G21" s="1356" t="s">
        <v>21</v>
      </c>
      <c r="H21" s="1356"/>
      <c r="I21" s="1356"/>
      <c r="J21" s="1356"/>
    </row>
    <row r="25" spans="1:19" s="74" customFormat="1" ht="10.199999999999999" x14ac:dyDescent="0.25">
      <c r="A25" s="1355" t="s">
        <v>1000</v>
      </c>
      <c r="B25" s="1355"/>
      <c r="C25" s="1355"/>
      <c r="D25" s="1355"/>
      <c r="G25" s="1355" t="s">
        <v>1058</v>
      </c>
      <c r="H25" s="1355"/>
      <c r="I25" s="1355"/>
      <c r="J25" s="1355"/>
    </row>
  </sheetData>
  <mergeCells count="29">
    <mergeCell ref="A1:J1"/>
    <mergeCell ref="B14:F14"/>
    <mergeCell ref="G12:H12"/>
    <mergeCell ref="D8:J8"/>
    <mergeCell ref="B15:D15"/>
    <mergeCell ref="G11:H11"/>
    <mergeCell ref="B13:F13"/>
    <mergeCell ref="B10:F11"/>
    <mergeCell ref="G25:J25"/>
    <mergeCell ref="D5:J5"/>
    <mergeCell ref="A21:D21"/>
    <mergeCell ref="A2:J2"/>
    <mergeCell ref="A25:D25"/>
    <mergeCell ref="A3:J3"/>
    <mergeCell ref="G20:J20"/>
    <mergeCell ref="G21:J21"/>
    <mergeCell ref="B12:F12"/>
    <mergeCell ref="G10:J10"/>
    <mergeCell ref="A10:A11"/>
    <mergeCell ref="B18:E18"/>
    <mergeCell ref="D6:J6"/>
    <mergeCell ref="D7:J7"/>
    <mergeCell ref="C16:D16"/>
    <mergeCell ref="D9:J9"/>
    <mergeCell ref="L2:N2"/>
    <mergeCell ref="M3:N3"/>
    <mergeCell ref="M4:N4"/>
    <mergeCell ref="L13:S17"/>
    <mergeCell ref="G18:H18"/>
  </mergeCells>
  <pageMargins left="0.8" right="0.65" top="0.68" bottom="0.75" header="0.3" footer="0.3"/>
  <pageSetup paperSize="14" fitToWidth="0"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D097-BD36-4507-8AE2-9873B027D1EE}">
  <sheetPr>
    <tabColor rgb="FF7030A0"/>
  </sheetPr>
  <dimension ref="A1:S25"/>
  <sheetViews>
    <sheetView zoomScale="143" workbookViewId="0">
      <selection activeCell="E19" sqref="E19"/>
    </sheetView>
  </sheetViews>
  <sheetFormatPr defaultColWidth="9.33203125" defaultRowHeight="13.2" x14ac:dyDescent="0.25"/>
  <cols>
    <col min="1" max="1" width="10.44140625" style="72" customWidth="1"/>
    <col min="2" max="2" width="2.77734375" style="72" customWidth="1"/>
    <col min="3" max="3" width="2.77734375" style="70" customWidth="1"/>
    <col min="4" max="4" width="38.6640625" style="72" customWidth="1"/>
    <col min="5" max="5" width="6.44140625" style="72" customWidth="1"/>
    <col min="6" max="6" width="2" style="72" customWidth="1"/>
    <col min="7" max="7" width="5.44140625" style="72" customWidth="1"/>
    <col min="8" max="8" width="4.44140625" style="72" customWidth="1"/>
    <col min="9" max="9" width="12" style="72" customWidth="1"/>
    <col min="10" max="10" width="14.33203125" style="72" customWidth="1"/>
    <col min="11" max="16384" width="9.33203125" style="72"/>
  </cols>
  <sheetData>
    <row r="1" spans="1:19" x14ac:dyDescent="0.25">
      <c r="A1" s="1374" t="s">
        <v>23</v>
      </c>
      <c r="B1" s="1374"/>
      <c r="C1" s="1374"/>
      <c r="D1" s="1374"/>
      <c r="E1" s="1374"/>
      <c r="F1" s="1374"/>
      <c r="G1" s="1374"/>
      <c r="H1" s="1374"/>
      <c r="I1" s="1374"/>
      <c r="J1" s="1374"/>
    </row>
    <row r="2" spans="1:19" ht="13.5" customHeight="1" x14ac:dyDescent="0.25">
      <c r="A2" s="1360" t="s">
        <v>0</v>
      </c>
      <c r="B2" s="1360"/>
      <c r="C2" s="1360"/>
      <c r="D2" s="1360"/>
      <c r="E2" s="1360"/>
      <c r="F2" s="1360"/>
      <c r="G2" s="1360"/>
      <c r="H2" s="1360"/>
      <c r="I2" s="1360"/>
      <c r="J2" s="1360"/>
      <c r="L2" s="1367" t="s">
        <v>421</v>
      </c>
      <c r="M2" s="1367"/>
      <c r="N2" s="1367"/>
    </row>
    <row r="3" spans="1:19" ht="13.5" customHeight="1" x14ac:dyDescent="0.25">
      <c r="A3" s="1360" t="s">
        <v>872</v>
      </c>
      <c r="B3" s="1360"/>
      <c r="C3" s="1360"/>
      <c r="D3" s="1360"/>
      <c r="E3" s="1360"/>
      <c r="F3" s="1360"/>
      <c r="G3" s="1360"/>
      <c r="H3" s="1360"/>
      <c r="I3" s="1360"/>
      <c r="J3" s="1360"/>
      <c r="L3" s="74" t="s">
        <v>50</v>
      </c>
      <c r="M3" s="1366">
        <f>J17</f>
        <v>80000000</v>
      </c>
      <c r="N3" s="1366"/>
    </row>
    <row r="4" spans="1:19" ht="16.5" customHeight="1" x14ac:dyDescent="0.25">
      <c r="A4" s="73"/>
      <c r="B4" s="73"/>
      <c r="C4" s="76"/>
      <c r="D4" s="73"/>
      <c r="E4" s="73"/>
      <c r="F4" s="73"/>
      <c r="G4" s="73"/>
      <c r="H4" s="73"/>
      <c r="I4" s="73"/>
      <c r="J4" s="73"/>
      <c r="L4" s="74" t="s">
        <v>25</v>
      </c>
      <c r="M4" s="1366">
        <v>0</v>
      </c>
      <c r="N4" s="1366"/>
    </row>
    <row r="5" spans="1:19" ht="10.5" customHeight="1" x14ac:dyDescent="0.25">
      <c r="A5" s="77" t="s">
        <v>1</v>
      </c>
      <c r="B5" s="77"/>
      <c r="C5" s="76" t="s">
        <v>137</v>
      </c>
      <c r="D5" s="1382" t="s">
        <v>349</v>
      </c>
      <c r="E5" s="1382"/>
      <c r="F5" s="1382"/>
      <c r="G5" s="1382"/>
      <c r="H5" s="1382"/>
      <c r="I5" s="1382"/>
      <c r="J5" s="1382"/>
    </row>
    <row r="6" spans="1:19" ht="13.5" customHeight="1" x14ac:dyDescent="0.25">
      <c r="A6" s="77" t="s">
        <v>3</v>
      </c>
      <c r="B6" s="77"/>
      <c r="C6" s="76" t="s">
        <v>137</v>
      </c>
      <c r="D6" s="1382" t="s">
        <v>1059</v>
      </c>
      <c r="E6" s="1382"/>
      <c r="F6" s="1382"/>
      <c r="G6" s="1382"/>
      <c r="H6" s="1382"/>
      <c r="I6" s="1382"/>
      <c r="J6" s="1382"/>
    </row>
    <row r="7" spans="1:19" ht="13.5" customHeight="1" x14ac:dyDescent="0.25">
      <c r="A7" s="77" t="s">
        <v>4</v>
      </c>
      <c r="B7" s="77"/>
      <c r="C7" s="76" t="s">
        <v>137</v>
      </c>
      <c r="D7" s="1382" t="s">
        <v>46</v>
      </c>
      <c r="E7" s="1382"/>
      <c r="F7" s="1382"/>
      <c r="G7" s="1382"/>
      <c r="H7" s="1382"/>
      <c r="I7" s="1382"/>
      <c r="J7" s="1382"/>
    </row>
    <row r="8" spans="1:19" ht="11.25" customHeight="1" x14ac:dyDescent="0.25">
      <c r="A8" s="77" t="s">
        <v>6</v>
      </c>
      <c r="B8" s="77"/>
      <c r="C8" s="76" t="s">
        <v>137</v>
      </c>
      <c r="D8" s="1382" t="s">
        <v>1060</v>
      </c>
      <c r="E8" s="1382"/>
      <c r="F8" s="1382"/>
      <c r="G8" s="1382"/>
      <c r="H8" s="1382"/>
      <c r="I8" s="1382"/>
      <c r="J8" s="1382"/>
    </row>
    <row r="9" spans="1:19" ht="13.5" customHeight="1" x14ac:dyDescent="0.25">
      <c r="A9" s="77"/>
      <c r="B9" s="77"/>
      <c r="C9" s="76"/>
      <c r="D9" s="1382"/>
      <c r="E9" s="1382"/>
      <c r="F9" s="1382"/>
      <c r="G9" s="1382"/>
      <c r="H9" s="1382"/>
      <c r="I9" s="1382"/>
      <c r="J9" s="1382"/>
    </row>
    <row r="10" spans="1:19" ht="15" customHeight="1" x14ac:dyDescent="0.25">
      <c r="A10" s="1364" t="s">
        <v>10</v>
      </c>
      <c r="B10" s="1376" t="s">
        <v>12</v>
      </c>
      <c r="C10" s="1377"/>
      <c r="D10" s="1377"/>
      <c r="E10" s="1377"/>
      <c r="F10" s="1377"/>
      <c r="G10" s="1376" t="s">
        <v>8</v>
      </c>
      <c r="H10" s="1377"/>
      <c r="I10" s="1377"/>
      <c r="J10" s="1378"/>
    </row>
    <row r="11" spans="1:19" s="79" customFormat="1" ht="23.25" customHeight="1" x14ac:dyDescent="0.25">
      <c r="A11" s="1365"/>
      <c r="B11" s="1383"/>
      <c r="C11" s="1384"/>
      <c r="D11" s="1384"/>
      <c r="E11" s="1384"/>
      <c r="F11" s="1384"/>
      <c r="G11" s="1375" t="s">
        <v>13</v>
      </c>
      <c r="H11" s="1375"/>
      <c r="I11" s="80" t="s">
        <v>14</v>
      </c>
      <c r="J11" s="81" t="s">
        <v>15</v>
      </c>
    </row>
    <row r="12" spans="1:19" s="79" customFormat="1" ht="9" customHeight="1" x14ac:dyDescent="0.25">
      <c r="A12" s="82">
        <v>1</v>
      </c>
      <c r="B12" s="1379">
        <v>2</v>
      </c>
      <c r="C12" s="1380"/>
      <c r="D12" s="1380"/>
      <c r="E12" s="1380"/>
      <c r="F12" s="1381"/>
      <c r="G12" s="1385">
        <v>3</v>
      </c>
      <c r="H12" s="1386"/>
      <c r="I12" s="82">
        <v>4</v>
      </c>
      <c r="J12" s="82">
        <v>5</v>
      </c>
    </row>
    <row r="13" spans="1:19" ht="17.100000000000001" customHeight="1" x14ac:dyDescent="0.25">
      <c r="A13" s="83">
        <v>5</v>
      </c>
      <c r="B13" s="1368" t="s">
        <v>16</v>
      </c>
      <c r="C13" s="1369"/>
      <c r="D13" s="1369"/>
      <c r="E13" s="1369"/>
      <c r="F13" s="1370"/>
      <c r="G13" s="85"/>
      <c r="H13" s="86"/>
      <c r="I13" s="87"/>
      <c r="J13" s="88">
        <f>J15</f>
        <v>80000000</v>
      </c>
      <c r="L13" s="1431"/>
      <c r="M13" s="1431"/>
      <c r="N13" s="1431"/>
      <c r="O13" s="1431"/>
      <c r="P13" s="1431"/>
      <c r="Q13" s="1431"/>
      <c r="R13" s="1431"/>
      <c r="S13" s="1431"/>
    </row>
    <row r="14" spans="1:19" ht="15" customHeight="1" x14ac:dyDescent="0.25">
      <c r="A14" s="47" t="s">
        <v>351</v>
      </c>
      <c r="B14" s="1435" t="s">
        <v>1061</v>
      </c>
      <c r="C14" s="1436"/>
      <c r="D14" s="1436"/>
      <c r="E14" s="1436"/>
      <c r="F14" s="1437"/>
      <c r="G14" s="226"/>
      <c r="H14" s="95"/>
      <c r="I14" s="96"/>
      <c r="J14" s="228"/>
      <c r="L14" s="1431"/>
      <c r="M14" s="1431"/>
      <c r="N14" s="1431"/>
      <c r="O14" s="1431"/>
      <c r="P14" s="1431"/>
      <c r="Q14" s="1431"/>
      <c r="R14" s="1431"/>
      <c r="S14" s="1431"/>
    </row>
    <row r="15" spans="1:19" ht="15.15" customHeight="1" x14ac:dyDescent="0.25">
      <c r="A15" s="89" t="s">
        <v>353</v>
      </c>
      <c r="B15" s="1371" t="s">
        <v>354</v>
      </c>
      <c r="C15" s="1372"/>
      <c r="D15" s="1372"/>
      <c r="E15" s="92"/>
      <c r="F15" s="93"/>
      <c r="G15" s="94"/>
      <c r="H15" s="95"/>
      <c r="I15" s="96"/>
      <c r="J15" s="97">
        <f>J16</f>
        <v>80000000</v>
      </c>
      <c r="L15" s="1431"/>
      <c r="M15" s="1431"/>
      <c r="N15" s="1431"/>
      <c r="O15" s="1431"/>
      <c r="P15" s="1431"/>
      <c r="Q15" s="1431"/>
      <c r="R15" s="1431"/>
      <c r="S15" s="1431"/>
    </row>
    <row r="16" spans="1:19" ht="14.1" customHeight="1" x14ac:dyDescent="0.25">
      <c r="A16" s="99" t="s">
        <v>355</v>
      </c>
      <c r="B16" s="100"/>
      <c r="C16" s="1361" t="s">
        <v>354</v>
      </c>
      <c r="D16" s="1361"/>
      <c r="E16" s="102"/>
      <c r="F16" s="103"/>
      <c r="G16" s="104"/>
      <c r="H16" s="95"/>
      <c r="I16" s="105"/>
      <c r="J16" s="106">
        <f>SUM(J17:J17)</f>
        <v>80000000</v>
      </c>
      <c r="L16" s="1431"/>
      <c r="M16" s="1431"/>
      <c r="N16" s="1431"/>
      <c r="O16" s="1431"/>
      <c r="P16" s="1431"/>
      <c r="Q16" s="1431"/>
      <c r="R16" s="1431"/>
      <c r="S16" s="1431"/>
    </row>
    <row r="17" spans="1:19" ht="13.5" customHeight="1" x14ac:dyDescent="0.25">
      <c r="A17" s="107"/>
      <c r="B17" s="108"/>
      <c r="C17" s="109" t="s">
        <v>123</v>
      </c>
      <c r="D17" s="102" t="s">
        <v>1062</v>
      </c>
      <c r="E17" s="110" t="s">
        <v>50</v>
      </c>
      <c r="F17" s="111"/>
      <c r="G17" s="112">
        <v>1</v>
      </c>
      <c r="H17" s="113" t="s">
        <v>685</v>
      </c>
      <c r="I17" s="114">
        <v>80000000</v>
      </c>
      <c r="J17" s="114">
        <f>I17*G17</f>
        <v>80000000</v>
      </c>
      <c r="L17" s="1431"/>
      <c r="M17" s="1431"/>
      <c r="N17" s="1431"/>
      <c r="O17" s="1431"/>
      <c r="P17" s="1431"/>
      <c r="Q17" s="1431"/>
      <c r="R17" s="1431"/>
      <c r="S17" s="1431"/>
    </row>
    <row r="18" spans="1:19" s="79" customFormat="1" ht="20.85" customHeight="1" x14ac:dyDescent="0.25">
      <c r="A18" s="127"/>
      <c r="B18" s="1357" t="s">
        <v>15</v>
      </c>
      <c r="C18" s="1358"/>
      <c r="D18" s="1358"/>
      <c r="E18" s="1358"/>
      <c r="F18" s="80"/>
      <c r="G18" s="1357"/>
      <c r="H18" s="1362"/>
      <c r="I18" s="127"/>
      <c r="J18" s="88">
        <f>J13</f>
        <v>80000000</v>
      </c>
      <c r="L18" s="324"/>
      <c r="M18" s="324"/>
      <c r="N18" s="324"/>
      <c r="O18" s="324"/>
      <c r="P18" s="324"/>
      <c r="Q18" s="324"/>
      <c r="R18" s="324"/>
      <c r="S18" s="324"/>
    </row>
    <row r="19" spans="1:19" s="79" customFormat="1" ht="9.75" customHeight="1" x14ac:dyDescent="0.25">
      <c r="A19" s="128"/>
      <c r="B19" s="128"/>
      <c r="C19" s="129"/>
      <c r="D19" s="78"/>
      <c r="E19" s="78"/>
      <c r="F19" s="78"/>
      <c r="G19" s="78"/>
      <c r="H19" s="78"/>
      <c r="I19" s="128"/>
      <c r="J19" s="130"/>
      <c r="L19" s="324"/>
      <c r="M19" s="324"/>
      <c r="N19" s="324"/>
      <c r="O19" s="324"/>
      <c r="P19" s="324"/>
      <c r="Q19" s="324"/>
      <c r="R19" s="324"/>
      <c r="S19" s="324"/>
    </row>
    <row r="20" spans="1:19" s="79" customFormat="1" ht="14.25" customHeight="1" x14ac:dyDescent="0.25">
      <c r="A20" s="131"/>
      <c r="B20" s="131"/>
      <c r="C20" s="109"/>
      <c r="D20" s="132"/>
      <c r="E20" s="132"/>
      <c r="F20" s="132"/>
      <c r="G20" s="1359" t="s">
        <v>22</v>
      </c>
      <c r="H20" s="1360"/>
      <c r="I20" s="1360"/>
      <c r="J20" s="1360"/>
    </row>
    <row r="21" spans="1:19" s="133" customFormat="1" ht="15" customHeight="1" x14ac:dyDescent="0.25">
      <c r="A21" s="1356" t="s">
        <v>11</v>
      </c>
      <c r="B21" s="1356"/>
      <c r="C21" s="1356"/>
      <c r="D21" s="1356"/>
      <c r="E21" s="134"/>
      <c r="F21" s="134"/>
      <c r="G21" s="1356" t="s">
        <v>21</v>
      </c>
      <c r="H21" s="1356"/>
      <c r="I21" s="1356"/>
      <c r="J21" s="1356"/>
    </row>
    <row r="25" spans="1:19" s="74" customFormat="1" ht="10.199999999999999" x14ac:dyDescent="0.25">
      <c r="A25" s="1355" t="s">
        <v>1000</v>
      </c>
      <c r="B25" s="1355"/>
      <c r="C25" s="1355"/>
      <c r="D25" s="1355"/>
      <c r="G25" s="1355" t="s">
        <v>199</v>
      </c>
      <c r="H25" s="1355"/>
      <c r="I25" s="1355"/>
      <c r="J25" s="1355"/>
    </row>
  </sheetData>
  <mergeCells count="29">
    <mergeCell ref="L2:N2"/>
    <mergeCell ref="A3:J3"/>
    <mergeCell ref="M3:N3"/>
    <mergeCell ref="M4:N4"/>
    <mergeCell ref="A10:A11"/>
    <mergeCell ref="B10:F11"/>
    <mergeCell ref="G10:J10"/>
    <mergeCell ref="G11:H11"/>
    <mergeCell ref="A1:J1"/>
    <mergeCell ref="A2:J2"/>
    <mergeCell ref="L13:S17"/>
    <mergeCell ref="B14:F14"/>
    <mergeCell ref="B15:D15"/>
    <mergeCell ref="C16:D16"/>
    <mergeCell ref="D5:J5"/>
    <mergeCell ref="D6:J6"/>
    <mergeCell ref="D7:J7"/>
    <mergeCell ref="D8:J8"/>
    <mergeCell ref="D9:J9"/>
    <mergeCell ref="A25:D25"/>
    <mergeCell ref="G25:J25"/>
    <mergeCell ref="B12:F12"/>
    <mergeCell ref="G12:H12"/>
    <mergeCell ref="B13:F13"/>
    <mergeCell ref="B18:E18"/>
    <mergeCell ref="G18:H18"/>
    <mergeCell ref="G20:J20"/>
    <mergeCell ref="A21:D21"/>
    <mergeCell ref="G21:J21"/>
  </mergeCells>
  <pageMargins left="0.8" right="0.65" top="0.68" bottom="0.75" header="0.3" footer="0.3"/>
  <pageSetup paperSize="14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7</vt:i4>
      </vt:variant>
    </vt:vector>
  </HeadingPairs>
  <TitlesOfParts>
    <vt:vector size="54" baseType="lpstr">
      <vt:lpstr>RKPDESA 2026</vt:lpstr>
      <vt:lpstr>DU-RKPDESA 2026</vt:lpstr>
      <vt:lpstr>PENDAPATAN DESA</vt:lpstr>
      <vt:lpstr>PENERIMAAN PEMBIAYAAN</vt:lpstr>
      <vt:lpstr>PENGELUARAN PEMBIAYAAN</vt:lpstr>
      <vt:lpstr>KONTROL ANGGARAN SUMBER DANA</vt:lpstr>
      <vt:lpstr>BELANJA PER BIDANG</vt:lpstr>
      <vt:lpstr>APBDES 2025</vt:lpstr>
      <vt:lpstr>KADES</vt:lpstr>
      <vt:lpstr>PERANGKAT</vt:lpstr>
      <vt:lpstr>BPJS</vt:lpstr>
      <vt:lpstr>OPS PEMDES</vt:lpstr>
      <vt:lpstr>BPD</vt:lpstr>
      <vt:lpstr>OPS BPD</vt:lpstr>
      <vt:lpstr>RT RW</vt:lpstr>
      <vt:lpstr>OPS PEMDES 3%</vt:lpstr>
      <vt:lpstr>SARPRAS KANTOR DESA</vt:lpstr>
      <vt:lpstr>SUN RKP</vt:lpstr>
      <vt:lpstr>Sun APBDes</vt:lpstr>
      <vt:lpstr>NONREGULER</vt:lpstr>
      <vt:lpstr>SUN KEBIJAKAN DESA</vt:lpstr>
      <vt:lpstr>SPPT PBB</vt:lpstr>
      <vt:lpstr>OPERASIONAL PAJAK</vt:lpstr>
      <vt:lpstr>PAUD TPQ</vt:lpstr>
      <vt:lpstr>SARPRAS POSYANDU</vt:lpstr>
      <vt:lpstr>POSYANDU</vt:lpstr>
      <vt:lpstr>RT 02 RW 01</vt:lpstr>
      <vt:lpstr>RW 2</vt:lpstr>
      <vt:lpstr>RT 15 RW 3</vt:lpstr>
      <vt:lpstr>RW 04.</vt:lpstr>
      <vt:lpstr>RW 5</vt:lpstr>
      <vt:lpstr>RW 06</vt:lpstr>
      <vt:lpstr>RW 07</vt:lpstr>
      <vt:lpstr>PKTD</vt:lpstr>
      <vt:lpstr>OPS LPMD</vt:lpstr>
      <vt:lpstr>OPS KIM</vt:lpstr>
      <vt:lpstr>OPS PB. PANDANLANDUNG</vt:lpstr>
      <vt:lpstr>OPS PSB PANDAWA</vt:lpstr>
      <vt:lpstr>OPS KESENIAN</vt:lpstr>
      <vt:lpstr>OPS LINMAS</vt:lpstr>
      <vt:lpstr>OPS FORUM ANAK</vt:lpstr>
      <vt:lpstr>OPS PKK</vt:lpstr>
      <vt:lpstr>OPS SWADESHI</vt:lpstr>
      <vt:lpstr>OPS ILAL AHAD</vt:lpstr>
      <vt:lpstr>OPS RW</vt:lpstr>
      <vt:lpstr>BLT DD</vt:lpstr>
      <vt:lpstr>KDMP</vt:lpstr>
      <vt:lpstr>PKTD!Print_Area</vt:lpstr>
      <vt:lpstr>'RT 02 RW 01'!Print_Area</vt:lpstr>
      <vt:lpstr>'RT 15 RW 3'!Print_Area</vt:lpstr>
      <vt:lpstr>'RW 04.'!Print_Area</vt:lpstr>
      <vt:lpstr>'RW 06'!Print_Area</vt:lpstr>
      <vt:lpstr>'RW 2'!Print_Area</vt:lpstr>
      <vt:lpstr>'RW 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creator>NOMAD</dc:creator>
  <cp:lastModifiedBy>Fitria Diva</cp:lastModifiedBy>
  <cp:lastPrinted>2025-12-02T09:41:09Z</cp:lastPrinted>
  <dcterms:created xsi:type="dcterms:W3CDTF">2023-12-30T11:25:03Z</dcterms:created>
  <dcterms:modified xsi:type="dcterms:W3CDTF">2026-01-31T08:13:26Z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0cab0ff64d7a44c78c36ed7c5b15ea81</vt:lpwstr>
  </property>
</Properties>
</file>